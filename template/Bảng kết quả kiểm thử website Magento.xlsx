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  <sheet state="visible" name="Security Findings" sheetId="3" r:id="rId6"/>
    <sheet state="visible" name="Automation Result" sheetId="4" r:id="rId7"/>
    <sheet state="visible" name="Summary" sheetId="5" r:id="rId8"/>
  </sheets>
  <definedNames/>
  <calcPr/>
  <extLst>
    <ext uri="GoogleSheetsCustomDataVersion2">
      <go:sheetsCustomData xmlns:go="http://customooxmlschemas.google.com/" r:id="rId9" roundtripDataChecksum="ylk7kr3usx1Qn0iNogoT1Op7hNqW3jgqQRrH9MZZ5kE="/>
    </ext>
  </extLst>
</workbook>
</file>

<file path=xl/sharedStrings.xml><?xml version="1.0" encoding="utf-8"?>
<sst xmlns="http://schemas.openxmlformats.org/spreadsheetml/2006/main" count="928" uniqueCount="560">
  <si>
    <t>Test Case ID</t>
  </si>
  <si>
    <t>Module</t>
  </si>
  <si>
    <t>Method</t>
  </si>
  <si>
    <t>Test Case Title</t>
  </si>
  <si>
    <t>Priority</t>
  </si>
  <si>
    <t>Pre-condition</t>
  </si>
  <si>
    <t>Test Data</t>
  </si>
  <si>
    <t>Test Steps</t>
  </si>
  <si>
    <t>Expected Result</t>
  </si>
  <si>
    <t>Actual Result</t>
  </si>
  <si>
    <t>Status</t>
  </si>
  <si>
    <t>Bug ID</t>
  </si>
  <si>
    <t>Evidence</t>
  </si>
  <si>
    <t>Tester</t>
  </si>
  <si>
    <t>Test Date</t>
  </si>
  <si>
    <t>TC_ADMIN_001</t>
  </si>
  <si>
    <t>Admin Login</t>
  </si>
  <si>
    <t>Manual + Black-box + Functional</t>
  </si>
  <si>
    <t>Login admin thành công với tài khoản hợp lệ</t>
  </si>
  <si>
    <t>High</t>
  </si>
  <si>
    <t>Docker services running; truy cập được &lt;https://magento.test/admin/&gt;</t>
  </si>
  <si>
    <t>Username: admin; Password: Admin123456!</t>
  </si>
  <si>
    <t>1. Mở admin URL; 2. Nhập username/password hợp lệ; 3. Click Sign in</t>
  </si>
  <si>
    <t>Đăng nhập thành công; hiển thị Admin Dashboard; không yêu cầu 2FA trong môi trường local</t>
  </si>
  <si>
    <t>Đăng nhập thành công, hệ thống chuyển vào Admin Dashboard</t>
  </si>
  <si>
    <t>Pass</t>
  </si>
  <si>
    <t>TC_ADMIN_001_PASS.png</t>
  </si>
  <si>
    <t>Nguyễn Tùng Quân</t>
  </si>
  <si>
    <t>TC_ADMIN_002</t>
  </si>
  <si>
    <t>Login admin thất bại với mật khẩu sai</t>
  </si>
  <si>
    <t>Admin URL mở được</t>
  </si>
  <si>
    <t>Username: admin; Password: WrongPassword123!</t>
  </si>
  <si>
    <t>1. Mở admin login; 2. Nhập username đúng, password sai; 3. Click Sign in</t>
  </si>
  <si>
    <t>Không đăng nhập được; hiển thị thông báo lỗi hợp lệ; vẫn ở trang login</t>
  </si>
  <si>
    <t>Hệ thống không cho đăng nhập, hiển thị thông báo lỗi và vẫn ở trang login</t>
  </si>
  <si>
    <t>TC_ADMIN_002_PASS.png</t>
  </si>
  <si>
    <t>TC_ADMIN_003</t>
  </si>
  <si>
    <t>Logout admin và chặn truy cập lại trang admin khi đã logout</t>
  </si>
  <si>
    <t>Đã login admin thành công</t>
  </si>
  <si>
    <t>Admin session hiện tại</t>
  </si>
  <si>
    <t>1. Click Sign Out; 2. Mở lại URL Dashboard hoặc Products bằng browser history/direct URL</t>
  </si>
  <si>
    <t>User bị đưa về trang login; không xem được nội dung admin sau logout</t>
  </si>
  <si>
    <t>Sau khi logout, truy cập lại URL admin bị redirect về trang login</t>
  </si>
  <si>
    <t>TC_ADMIN_003_PASS.png</t>
  </si>
  <si>
    <t>TC_ADMIN_004</t>
  </si>
  <si>
    <t>Admin Product</t>
  </si>
  <si>
    <t>Xem danh sách sản phẩm trong Admin Product Grid</t>
  </si>
  <si>
    <t>Đã login admin; sample data đã cài</t>
  </si>
  <si>
    <t>Menu: Catalog &gt; Products</t>
  </si>
  <si>
    <t>1. Vào Catalog &gt; Products; 2. Quan sát Product Grid; 3. Kiểm tra các cột Name, SKU, Price, Quantity, Status</t>
  </si>
  <si>
    <t>Product Grid load được; danh sách sản phẩm hiển thị; thông tin sản phẩm rõ ràng</t>
  </si>
  <si>
    <t>Product Grid load thành công, danh sách sản phẩm và các cột chính hiển thị rõ ràng</t>
  </si>
  <si>
    <t>TC_ADMIN_004_PASS.png</t>
  </si>
  <si>
    <t>TC_ADMIN_005</t>
  </si>
  <si>
    <t>Tìm kiếm sản phẩm sample trong Admin Product Grid</t>
  </si>
  <si>
    <t>Product: Joust Duffle Bag</t>
  </si>
  <si>
    <t>1. Vào Catalog &gt; Products; 2. Search/filter theo tên Joust Duffle Bag; 3. Mở product detail</t>
  </si>
  <si>
    <t>Filter trả đúng sản phẩm; product detail mở được; thông tin product hiển thị đầy đủ</t>
  </si>
  <si>
    <t>Filter trả về sản phẩm Joust Duffle Bag và mở được trang chi tiết sản phẩm</t>
  </si>
  <si>
    <t>TC_ADMIN_005_PASS.png</t>
  </si>
  <si>
    <t>TC_ADMIN_006</t>
  </si>
  <si>
    <t>Kiểm tra validation khi tạo product thiếu thông tin bắt buộc</t>
  </si>
  <si>
    <t>Medium</t>
  </si>
  <si>
    <t>Đã login admin</t>
  </si>
  <si>
    <t>Menu: Catalog &gt; Products &gt; Add Product</t>
  </si>
  <si>
    <t>1. Vào Add Product; 2. Bỏ trống một số trường bắt buộc như Product Name hoặc SKU; 3. Click Save</t>
  </si>
  <si>
    <t>Hệ thống không cho lưu; hiển thị thông báo lỗi validation tại trường bắt buộc</t>
  </si>
  <si>
    <t>Khi mở trang Add Product, hệ thống hiển thị trang lỗi ErrorException: “Using null as an array offset is deprecated, use an empty string instead”, không hiển thị được form tạo product</t>
  </si>
  <si>
    <t>Fail</t>
  </si>
  <si>
    <t>BUG_ADMIN_001</t>
  </si>
  <si>
    <t>TC_ADMIN_006_FAIL.png</t>
  </si>
  <si>
    <t>TC_ADMIN_007</t>
  </si>
  <si>
    <t>Manual + Black-box + Integration</t>
  </si>
  <si>
    <t>Tạo simple product QA mới trong admin</t>
  </si>
  <si>
    <t>Đã login admin; cache/indexer hoạt động</t>
  </si>
  <si>
    <t>Name: QA Test Product - Member 4; SKU: qa-test-product-member4; Price: 19.99; Qty: 10</t>
  </si>
  <si>
    <t>1. Vào Catalog &gt; Products &gt; Add Product; 2. Chọn Simple Product; 3. Nhập các thông tin bắt buộc; 4. Save product; 5. Tìm lại product trong Admin Product Grid</t>
  </si>
  <si>
    <t>Product được lưu thành công trong admin; có thể tìm thấy product trong Admin Product Grid; thông tin name, SKU, price, qty hiển thị đúng</t>
  </si>
  <si>
    <t>Không thể tạo simple product QA vì trang Add Product bị lỗi ErrorException và không hiển thị form nhập thông tin sản phẩm</t>
  </si>
  <si>
    <t>Blocked</t>
  </si>
  <si>
    <t>TC_ADMIN_008</t>
  </si>
  <si>
    <t>Cập nhật giá/tồn kho product QA trong admin</t>
  </si>
  <si>
    <t>Đã có product QA được tạo từ TC_ADMIN_009</t>
  </si>
  <si>
    <t>Product: QA Test Product - Member 4; New Price: 24.99; New Qty: 15</t>
  </si>
  <si>
    <t>1. Mở product QA trong admin; 2. Thay đổi price hoặc quantity; 3. Save; 4. Mở lại product detail trong admin; 5. Kiểm tra giá/tồn kho mới</t>
  </si>
  <si>
    <t>Product lưu thành công; giá hoặc tồn kho mới hiển thị đúng trong Admin Product Edit Page hoặc Product Grid</t>
  </si>
  <si>
    <t>Không thể cập nhật product QA vì product QA chưa được tạo do lỗi Add Product ở BUG_ADMIN_001</t>
  </si>
  <si>
    <t>TC_ADMIN_009</t>
  </si>
  <si>
    <t>Admin Order</t>
  </si>
  <si>
    <t>Xem danh sách đơn hàng trong admin</t>
  </si>
  <si>
    <t>Đã login admin; sample data có order hoặc đã có order test</t>
  </si>
  <si>
    <t>Menu: Sales &gt; Orders</t>
  </si>
  <si>
    <t>1. Vào Sales &gt; Orders; 2. Quan sát Order Grid; 3. Kiểm tra Order ID, Date, Customer, Total, Status</t>
  </si>
  <si>
    <t>Order Grid hiển thị thành công; thông tin đơn hàng rõ ràng; không lỗi hệ thống</t>
  </si>
  <si>
    <t>TC_ADMIN_009_PASS.png</t>
  </si>
  <si>
    <t>TC_ADMIN_010</t>
  </si>
  <si>
    <t>Tìm kiếm/lọc đơn hàng trong Admin Order Grid</t>
  </si>
  <si>
    <t>Đã login admin; có ít nhất một order</t>
  </si>
  <si>
    <t>Menu: Sales &gt; Orders; Filter: Order ID hoặc Status</t>
  </si>
  <si>
    <t>1. Vào Sales &gt; Orders; 2. Nhập filter theo Order ID hoặc chọn Status; 3. Apply Filters</t>
  </si>
  <si>
    <t>Order Grid trả kết quả phù hợp với điều kiện lọc; không lỗi grid hoặc lỗi session</t>
  </si>
  <si>
    <t>TC_ADMIN_010_PASS.png</t>
  </si>
  <si>
    <t>TC_ADMIN_011</t>
  </si>
  <si>
    <t>Xem chi tiết một đơn hàng trong admin</t>
  </si>
  <si>
    <t>Đã login admin; có ít nhất một order trong Sales &gt; Orders</t>
  </si>
  <si>
    <t>Một order bất kỳ trong danh sách</t>
  </si>
  <si>
    <t>1. Vào Sales &gt; Orders; 2. Chọn một order; 3. Click View; 4. Kiểm tra thông tin customer, items, totals, status</t>
  </si>
  <si>
    <t>Trang chi tiết order mở được; hiển thị đầy đủ thông tin khách hàng, sản phẩm, tổng tiền và trạng thái đơn hàng</t>
  </si>
  <si>
    <t>TC_ADMIN_011_PASS.png</t>
  </si>
  <si>
    <t>TC_SECURITY_001</t>
  </si>
  <si>
    <t>Admin Login Security</t>
  </si>
  <si>
    <t>Security Basic</t>
  </si>
  <si>
    <t>Kiểm tra SQL Injection cơ bản tại admin login</t>
  </si>
  <si>
    <t>1. Username: ' OR '1'='1 ; Password: ' OR '1'='1
2. Username: ' OR 1=1 -- ; Password: anything
3. Username: admin' -- ; Password: anything
4. Username: ' OR 'a'='a' -- ; Password: anything
5. Username: " OR "1"="1 ; Password: anything
6. Username: ' OR 1=1# ; Password: anything
7. Username: ') OR ('1'='1 ; Password: anything
8. Username: admin' OR '1'='1' -- ; Password: anything
9. Username: ' AND '1'='2 ; Password: anything
10. Username: ';-- ; Password: anything</t>
  </si>
  <si>
    <t>1. Mở admin login; 2. Nhập payload vào username/password; 3. Click Sign in; 4. Quan sát phản hồi</t>
  </si>
  <si>
    <t>Không đăng nhập được; không xuất hiện lỗi SQL/database; không lộ stack trace hoặc thông tin hệ thống</t>
  </si>
  <si>
    <t>TC_SECURITY_001_PASS.png</t>
  </si>
  <si>
    <t>TC_SECURITY_002</t>
  </si>
  <si>
    <t>Input Security</t>
  </si>
  <si>
    <t>Kiểm tra XSS cơ bản trong ô tìm kiếm frontend</t>
  </si>
  <si>
    <t>Frontend truy cập được tại &lt;https://magento.test/&gt;</t>
  </si>
  <si>
    <t xml:space="preserve">&lt;script&gt;alert(1)&lt;/script&gt;; 
"&gt;&lt;script&gt;alert(1)&lt;/script&gt;; 
'&gt;&lt;script&gt;alert(1)&lt;/script&gt;; 
&lt;img src=x onerror=alert(1)&gt;; 
&lt;svg/onload=alert(1)&gt;; 
&lt;body onload=alert(1)&gt;; 
javascript:alert(1); 
</t>
  </si>
  <si>
    <t>1. Mở frontend; 2. Nhập payload vào ô search; 3. Submit search; 4. Quan sát kết quả</t>
  </si>
  <si>
    <t>Payload không được thực thi; không xuất hiện alert; hệ thống hiển thị kết quả tìm kiếm hoặc thông báo không tìm thấy</t>
  </si>
  <si>
    <t>Payload không được thực thi; không xuất hiện alert; hệ thống hiển thị thông báo không tìm thấy</t>
  </si>
  <si>
    <t>TC_SECURITY_002_PASS.png</t>
  </si>
  <si>
    <t>TC_ZAP_001</t>
  </si>
  <si>
    <t>Security Scan</t>
  </si>
  <si>
    <t>OWASP ZAP + Security Basic</t>
  </si>
  <si>
    <t>OWASP ZAP scan</t>
  </si>
  <si>
    <t>OWASP ZAP đã cài</t>
  </si>
  <si>
    <t>Target: &lt;https://magento.test/&gt;; Scan type: Passive Scan/Manual Explore</t>
  </si>
  <si>
    <t>Quét bảo mật cơ bản website Magento bằng OWASP ZAP</t>
  </si>
  <si>
    <t>ZAP ghi nhận được request; cảnh báo bảo mật được liệt kê; không lộ dữ liệu nhạy cảm hay tồn tại lỗ hổng</t>
  </si>
  <si>
    <t>OWASP ZAP ghi nhận được traffic frontend Magento khi duyệt các luồng đại diện. ZAP phát hiện 1 cảnh báo High liên quan đến Vulnerable JS Library và nhiều cảnh báo Medium liên quan đến Anti-CSRF Token/CSP configuration</t>
  </si>
  <si>
    <t xml:space="preserve">BUG_SECURITY_001
BUG_SECURITY_002
BUG_SECURITY_003
</t>
  </si>
  <si>
    <t>TC_AUTO_001</t>
  </si>
  <si>
    <t>Home</t>
  </si>
  <si>
    <t>Selenium Automation</t>
  </si>
  <si>
    <t>Tự động mở trang chủ Magento</t>
  </si>
  <si>
    <t>Website đang chạy; Selenium đã cấu hình</t>
  </si>
  <si>
    <t>URL: &lt;https://magento.test/&gt;</t>
  </si>
  <si>
    <t>1. Chạy Selenium script; 2. Browser mở trang chủ; 3. Kiểm tra title hoặc element chính</t>
  </si>
  <si>
    <t>Script chạy thành công; trang chủ hiển thị; không lỗi browser/driver</t>
  </si>
  <si>
    <t>Script chạy thành công; trang chủ hiển thị</t>
  </si>
  <si>
    <t>TC_AUTO_001_PASS.png</t>
  </si>
  <si>
    <t>TC_AUTO_002</t>
  </si>
  <si>
    <t>Search</t>
  </si>
  <si>
    <t>Tự động tìm kiếm sản phẩm với từ khóa hợp lệ</t>
  </si>
  <si>
    <t>Keyword: bag</t>
  </si>
  <si>
    <t>1. Mở trang chủ bằng Selenium; 2. Nhập từ khóa bag; 3. Submit search; 4. Kiểm tra trang kết quả</t>
  </si>
  <si>
    <t>Trang kết quả tìm kiếm hiển thị; có sản phẩm liên quan đến bag</t>
  </si>
  <si>
    <t>TC_AUTO_002_PASS.png</t>
  </si>
  <si>
    <t>TC_AUTO_003</t>
  </si>
  <si>
    <t>Product Detail</t>
  </si>
  <si>
    <t>Tự động mở trang chi tiết sản phẩm mẫu</t>
  </si>
  <si>
    <t>Website đang chạy; Selenium đã cấu hình; sản phẩm mẫu tồn tại</t>
  </si>
  <si>
    <t>1. Mở URL sản phẩm bằng Selenium; 2. Kiểm tra tên sản phẩm; 3. Kiểm tra nút Add to Cart hiển thị</t>
  </si>
  <si>
    <t>Trang chi tiết sản phẩm hiển thị đúng; tên sản phẩm và nút Add to Cart xuất hiện</t>
  </si>
  <si>
    <t>TC_AUTO_003_PASS.png</t>
  </si>
  <si>
    <t>TC_AUTO_004</t>
  </si>
  <si>
    <t>Cart</t>
  </si>
  <si>
    <t>Tự động thêm sản phẩm mẫu vào giỏ hàng</t>
  </si>
  <si>
    <t>Website đang chạy; Selenium đã cấu hình; product page mở được</t>
  </si>
  <si>
    <t>1. Mở product detail bằng Selenium; 2. Click Add to Cart; 3. Chờ thông báo add to cart; 4. Mở cart hoặc mini cart</t>
  </si>
  <si>
    <t>Sản phẩm được thêm vào cart; thông báo thành công hiển thị; không lỗi Selenium/driver</t>
  </si>
  <si>
    <t>TC_AUTO_004_PASS.png</t>
  </si>
  <si>
    <t>TC_AUTO_005</t>
  </si>
  <si>
    <t>Cart Page</t>
  </si>
  <si>
    <t>Tự động cập nhật số lượng sản phẩm trong giỏ hàng</t>
  </si>
  <si>
    <t>Website đang chạy; Selenium đã cấu hình; sản phẩm Joust Duffle Bag có thể thêm vào giỏ hàng</t>
  </si>
  <si>
    <t>Product: Joust Duffle Bag; Quantity: 1 → 2</t>
  </si>
  <si>
    <t>1. Chạy Selenium script; 2. Mở trang chi tiết sản phẩm Joust Duffle Bag; 3. Thêm sản phẩm vào giỏ hàng; 4. Mở trang cart; 5. Đổi quantity từ 1 thành 2; 6. Click Update Shopping Cart; 7. Kiểm tra quantity/subtotal/cart count sau khi cập nhật</t>
  </si>
  <si>
    <t>Hệ thống cập nhật quantity thành 2; giỏ hàng hiển thị số lượng mới; subtotal hoặc cart total thay đổi phù hợp; không lỗi Selenium/driver</t>
  </si>
  <si>
    <t>TC_AUTO_005_PASS.png</t>
  </si>
  <si>
    <t>TC_HOME_001</t>
  </si>
  <si>
    <t>Manual + Black-box 
+ Functional</t>
  </si>
  <si>
    <t>Kiểm tra truy cập trang chủ thành công</t>
  </si>
  <si>
    <t>Docker services đang chạy;
 trình duyệt Chrome/Edge sẵn sàng</t>
  </si>
  <si>
    <t>URL: https://magento.test/</t>
  </si>
  <si>
    <t>1. Mở trình duyệt; 
2. Truy cập https://magento.test/; 
3. Quan sát trang chủ load</t>
  </si>
  <si>
    <t>Trang chủ load thành công, không lỗi 404/500;
hiển thị đầy đủ header, banner, footer</t>
  </si>
  <si>
    <t>Trang chủ load thành công</t>
  </si>
  <si>
    <t>TC_HOME_001_PASS.png</t>
  </si>
  <si>
    <t>Trần Quốc Đạt</t>
  </si>
  <si>
    <t>TC_HOME_002</t>
  </si>
  <si>
    <t>Kiểm tra menu điều hướng chính 
trên trang chủ</t>
  </si>
  <si>
    <t>Trang chủ đã load thành công</t>
  </si>
  <si>
    <t>Menu chính: ví dụ Gear, Training, Sale (theo top navigation)</t>
  </si>
  <si>
    <t>1. Trên trang chủ, click vào từng menu/danh mục chính trên top navigation; 
2. Quan sát trang đích sau khi click</t>
  </si>
  <si>
    <t>Mỗi menu điều hướng đến đúng trang category tương ứng, 
không lỗi 404;
breadcrumb hiển thị đúng tên category</t>
  </si>
  <si>
    <t xml:space="preserve"> Menu điều hướng đến đúng trang category tương ứng</t>
  </si>
  <si>
    <t>TC_HOME_002_PASS.png</t>
  </si>
  <si>
    <t>TC_HOME_003</t>
  </si>
  <si>
    <t>Kiểm tra hiển thị block sản phẩm 
trên trang chủ</t>
  </si>
  <si>
    <t>Trang chủ đã load thành công; 
sample data đã cài</t>
  </si>
  <si>
    <t>Block sản phẩm trên trang chủ (New Products/Featured Products)</t>
  </si>
  <si>
    <t>1. Cuộn trang chủ xuống các block sản phẩm; 
2. Quan sát thông tin từng sản phẩm hiển thị (ảnh, tên, giá)</t>
  </si>
  <si>
    <t>Mỗi sản phẩm trong block hiển thị đầy đủ ảnh, tên, giá;
 ảnh hiển thị đúng, không bị lỗi/broken link</t>
  </si>
  <si>
    <t>TC_HOME_003_PASS.png</t>
  </si>
  <si>
    <t>TC_CAT_001</t>
  </si>
  <si>
    <t>Category</t>
  </si>
  <si>
    <t>Truy cập category và hiển thị danh 
sách sản phẩm</t>
  </si>
  <si>
    <t>Trang chủ load thành công; sample data đã cài</t>
  </si>
  <si>
    <t>Category: Gear &gt; Bags</t>
  </si>
  <si>
    <t>1. Từ menu, click vào category Gear &gt; Bags; 
2. Quan sát danh sách sản phẩm hiển thị trong category</t>
  </si>
  <si>
    <t>Trang category load thành công;
 hiển thị danh sách sản phẩm kèm ảnh, tên, giá; 
breadcrumb hiển thị đúng đường dẫn category</t>
  </si>
  <si>
    <t xml:space="preserve">Trang category load thành công;
hiển thị danh sách sản phẩm kèm ảnh, tên, giá; </t>
  </si>
  <si>
    <t>TC_CAT_001_PASS.png</t>
  </si>
  <si>
    <t>TC_CAT_002</t>
  </si>
  <si>
    <t>Kiểm tra sắp xếp (sort) sản phẩm 
theo giá trong category</t>
  </si>
  <si>
    <t>Đang ở trang category có nhiều sản phẩm</t>
  </si>
  <si>
    <t>Sort option: Price (Low to High / High to Low)</t>
  </si>
  <si>
    <t>1. Mở dropdown Sort By; 
2. Chọn Price Low to High;
3. Quan sát danh sách sản phẩm;
4. Chọn Price High to Low; 
5. Quan sát lại danh sách</t>
  </si>
  <si>
    <t>Danh sách sản phẩm được sắp xếp đúng 
theo thứ tự giá tăng/giảm tương ứng với tùy chọn đã chọn</t>
  </si>
  <si>
    <t xml:space="preserve">Danh sách sản phẩm được sắp xếp đúng </t>
  </si>
  <si>
    <t>TC_CAT_002_PASS.png</t>
  </si>
  <si>
    <t>TC_CAT_003</t>
  </si>
  <si>
    <t>Kiểm tra chức năng filter sản
 phẩm (Layered Navigation)</t>
  </si>
  <si>
    <t>Đang ở trang category có bộ lọc (filter) ở sidebar</t>
  </si>
  <si>
    <t>Filter attribute: ví dụ Price range hoặc thuộc tính khác có sẵn (Color/Size...)</t>
  </si>
  <si>
    <t>1. Chọn một tiêu chí filter ở sidebar (ví dụ khoảng giá); 
2. Quan sát danh sách sản phẩm sau khi áp filter; 
3. Bỏ filter và kiểm tra danh sách trở lại ban đầu</t>
  </si>
  <si>
    <t>Danh sách sản phẩm được lọc đúng 
theo tiêu chí đã chọn; khi bỏ filter, 
danh sách trở về đầy đủ như ban đầu</t>
  </si>
  <si>
    <t>Danh sách sản phẩm được lọc đúng</t>
  </si>
  <si>
    <t>TC_CAT_003_PASS.png</t>
  </si>
  <si>
    <t>TC_CAT_004</t>
  </si>
  <si>
    <t>Kiểm tra phân trang (pagination) trong
 category có nhiều sản phẩm</t>
  </si>
  <si>
    <t>Low</t>
  </si>
  <si>
    <t>Category có số sản phẩm nhiều hơn 
số sản phẩm hiển thị trên 1 trang</t>
  </si>
  <si>
    <t>Category: Gear hoặc Bags (category có nhiều sản phẩm)</t>
  </si>
  <si>
    <t>1. Cuộn xuống cuối trang category; 
2. Click sang trang 2 (pagination); 
3. Quan sát danh sách sản phẩm ở trang 2</t>
  </si>
  <si>
    <t>Hệ thống chuyển sang trang 2 với 
danh sách sản phẩm khác trang 1,
không trùng lặp, không lỗi giao diện</t>
  </si>
  <si>
    <t>Hệ thống hiển thị phân trang đúng</t>
  </si>
  <si>
    <t>TC_CAT_004_PASS.png</t>
  </si>
  <si>
    <t>TC_SEARCH_001</t>
  </si>
  <si>
    <t>Tìm kiếm sản phẩm với từ 
khóa hợp lệ</t>
  </si>
  <si>
    <t>Trang chủ load thành công;
 sample data đã cài</t>
  </si>
  <si>
    <t>Từ khóa: bag</t>
  </si>
  <si>
    <t>1. Click vào ô search trên header;
2. Nhập từ khóa "bag"; 
3. Nhấn Enter hoặc click icon search</t>
  </si>
  <si>
    <t>Trang kết quả search hiển thị danh sách sản phẩm
liên quan đến "bag" (ví dụ Joust Duffle Bag);
số lượng kết quả lớn hơn 0</t>
  </si>
  <si>
    <t>Hiển thị đúng những sản phẩm được search</t>
  </si>
  <si>
    <t>TC_SEARCH_001_PASS.png</t>
  </si>
  <si>
    <t>TC_SEARCH_002</t>
  </si>
  <si>
    <t>Tìm kiếm với từ khóa
 không tồn tại sản phẩm</t>
  </si>
  <si>
    <t>Từ khóa: xyzabc123notfound</t>
  </si>
  <si>
    <t>1. Nhập từ khóa "xyzabc123notfound" vào ô search; 
2. Nhấn Enter</t>
  </si>
  <si>
    <t>Hệ thống hiển thị thông báo dạng 
"Your search returned no results" (hoặc tương đương);
 không lỗi giao diện, không crash</t>
  </si>
  <si>
    <t>Hiển thị "Your search returned no results"</t>
  </si>
  <si>
    <t>TC_SEARCH_002_PASS.png</t>
  </si>
  <si>
    <t>TC_SEARCH_003</t>
  </si>
  <si>
    <t>Tìm kiếm với từ khóa rỗng 
hoặc chỉ chứa khoảng trắng</t>
  </si>
  <si>
    <t>Từ khóa: để trống hoặc nhập vài khoảng trắng</t>
  </si>
  <si>
    <t>1. Click vào ô search; 
2. Không nhập gì hoặc nhập vài khoảng trắng; 
3. Nhấn Enter/click icon search</t>
  </si>
  <si>
    <t>Hệ thống xử lý hợp lý: không submit search rỗng, 
hoặc hiển thị trang search với thông báo phù hợp;
 không lỗi 500/crash</t>
  </si>
  <si>
    <t>TC_SEARCH_003_PASS.png</t>
  </si>
  <si>
    <t>TC_SEARCH_004</t>
  </si>
  <si>
    <t>Tìm kiếm với ký tự đặc biệt</t>
  </si>
  <si>
    <t>Từ khóa: &lt;&gt;?!@#$%^&amp;*()</t>
  </si>
  <si>
    <t>1. Nhập ký tự đặc biệt vào ô search; 
2. Nhấn Enter</t>
  </si>
  <si>
    <t>Hệ thống không lỗi giao diện, không hiển thị lỗi hệ thống
(error/exception); trả về kết quả "no results" hoặc kết quả hợp lý</t>
  </si>
  <si>
    <t>TC_SEARCH_004_PASS.png</t>
  </si>
  <si>
    <t>TC_PRODUCT_001</t>
  </si>
  <si>
    <t>Sản phẩm: Joust Duffle Bag</t>
  </si>
  <si>
    <t>Website hoạt động, có sample data</t>
  </si>
  <si>
    <t>Joust Duffle Bag</t>
  </si>
  <si>
    <t>1. Mở trang chủ 
2. Tìm kiếm "Joust Duffle Bag" 
3. Nhấn vào sản phẩm</t>
  </si>
  <si>
    <t>Trang chi tiết sản phẩm mở thành công</t>
  </si>
  <si>
    <t>Trang chi tiết sản phẩm hiển thị đúng</t>
  </si>
  <si>
    <t>TC_PRODUCT_001_PASS.png</t>
  </si>
  <si>
    <t>Nguyễn Trường An</t>
  </si>
  <si>
    <t>TC_PRODUCT_002</t>
  </si>
  <si>
    <t>Kiểm tra thông tin sản phẩm</t>
  </si>
  <si>
    <t>Đang ở trang chi tiết sản phẩm</t>
  </si>
  <si>
    <t>Kiểm tra tên, ảnh, giá, SKU, mô tả</t>
  </si>
  <si>
    <t>Thông tin hiển thị đầy đủ và đúng</t>
  </si>
  <si>
    <t>Thông tin hiển thị chính xác</t>
  </si>
  <si>
    <t>TC_PRODUCT_002_PASS.png</t>
  </si>
  <si>
    <t>TC_PRODUCT_003</t>
  </si>
  <si>
    <t>Kiểm tra thêm sản phẩm vào giỏ</t>
  </si>
  <si>
    <t>Đang ở trang sản phẩm</t>
  </si>
  <si>
    <t>Qty = 1</t>
  </si>
  <si>
    <t>Click Add to Cart</t>
  </si>
  <si>
    <t>Sản phẩm được thêm thành công</t>
  </si>
  <si>
    <t>Hệ thống thêm sản phẩm thành công</t>
  </si>
  <si>
    <t>TC_PRODUCT_003_PASS.png</t>
  </si>
  <si>
    <t>TC_CART_001</t>
  </si>
  <si>
    <t>Kiểm tra Mini Cart</t>
  </si>
  <si>
    <t>Đã thêm sản phẩm vào giỏ</t>
  </si>
  <si>
    <t>Click icon giỏ hàng</t>
  </si>
  <si>
    <t>Mini cart hiển thị đúng sản phẩm</t>
  </si>
  <si>
    <t>Mini cart hiển thị chính xác</t>
  </si>
  <si>
    <t>TC_CART_001_PASS.png</t>
  </si>
  <si>
    <t>TC_CART_002</t>
  </si>
  <si>
    <t>Kiểm tra trang giỏ hàng</t>
  </si>
  <si>
    <t>Có ít nhất 1 sản phẩm trong giỏ</t>
  </si>
  <si>
    <t>Vào View Cart</t>
  </si>
  <si>
    <t>Hiển thị đúng sản phẩm và giá</t>
  </si>
  <si>
    <t>Thông tin hiển thị đúng</t>
  </si>
  <si>
    <t>TC_CART_002_PASS.png</t>
  </si>
  <si>
    <t>TC_CART_003</t>
  </si>
  <si>
    <t>Kiểm tra cập nhật số lượng hợp lệ</t>
  </si>
  <si>
    <t>Có sản phẩm trong giỏ</t>
  </si>
  <si>
    <t>Qty = 10</t>
  </si>
  <si>
    <t>Sửa quantity thành 10 → Update Cart</t>
  </si>
  <si>
    <t>Quantity cập nhật thành công</t>
  </si>
  <si>
    <t>Quantity cập nhật đúng</t>
  </si>
  <si>
    <t>TC_CART_003_PASS.png</t>
  </si>
  <si>
    <t>TC_CART_004</t>
  </si>
  <si>
    <t>Kiểm tra xóa sản phẩm khỏi cart</t>
  </si>
  <si>
    <t>Có ít nhất 1 sản phẩm trong giỏ hàng</t>
  </si>
  <si>
    <t>1. Mở trang Cart 
2. Nhấn nút Remove/Delete của sản phẩm 
3. Xác nhận xóa (nếu có)</t>
  </si>
  <si>
    <t>Sản phẩm bị xóa khỏi giỏ hàng và hiển thị thông báo cart rỗng</t>
  </si>
  <si>
    <t>Sản phẩm được xóa thành công, giỏ hàng hiển thị rỗng</t>
  </si>
  <si>
    <t>TC_CART_004_PASS.png</t>
  </si>
  <si>
    <t>TC_CART_005</t>
  </si>
  <si>
    <t>Kiểm tra nhập quantity không hợp lệ</t>
  </si>
  <si>
    <t>Qty = 0</t>
  </si>
  <si>
    <t>Nhập 0 → Update Cart</t>
  </si>
  <si>
    <t>Hệ thống từ chối</t>
  </si>
  <si>
    <t>Hiển thị lỗi validate</t>
  </si>
  <si>
    <t>TC_CART_005_PASS.png</t>
  </si>
  <si>
    <t>TC_CART_006</t>
  </si>
  <si>
    <t>Kiểm tra tính toán tổng tiền trong giỏ hàng</t>
  </si>
  <si>
    <t>Product: Joust Duffle Bag, Qty = 5</t>
  </si>
  <si>
    <t>1. Mở trang Cart 
2. Ghi lại giá sản phẩm 
3. Cập nhật số lượng thành 5 
4. Nhấn Update Cart 
5. Kiểm tra Subtotal và Grand Total</t>
  </si>
  <si>
    <t>Subtotal và Grand Total được cập nhật chính xác theo số lượng mới</t>
  </si>
  <si>
    <t>Hệ thống tính toán đúng tổng tiền sau khi cập nhật số lượng</t>
  </si>
  <si>
    <t>TC_CART_006_PASS.png</t>
  </si>
  <si>
    <t>TC_INTEGRATION_001</t>
  </si>
  <si>
    <t>Product + Cart</t>
  </si>
  <si>
    <t>Kiểm tra luồng từ trang sản phẩm đến giỏ hàng</t>
  </si>
  <si>
    <t>Website hoạt động bình thường, có sample data</t>
  </si>
  <si>
    <t>Product: Joust Duffle Bag, Qty = 1</t>
  </si>
  <si>
    <t>1. Mở trang chủ 
2. Tìm kiếm "Joust Duffle Bag" 
3. Mở trang chi tiết sản phẩm 
4. Nhấn Add to Cart 
5. Mở Mini Cart 
6. Nhấn View Cart</t>
  </si>
  <si>
    <t>Sản phẩm được thêm thành công và thông tin (tên, giá, số lượng) hiển thị giống nhau ở Product Detail, Mini Cart và Cart Page</t>
  </si>
  <si>
    <t>Dữ liệu sản phẩm đồng nhất và hiển thị đúng trong toàn bộ luồng</t>
  </si>
  <si>
    <t>TC_INTEGRATION_001_PASS.png</t>
  </si>
  <si>
    <t>TC_CUSTOMER_001</t>
  </si>
  <si>
    <t>Customer Account</t>
  </si>
  <si>
    <t>Đăng ký tài khoản khách hàng mới thành công</t>
  </si>
  <si>
    <t>Môi trường local sẵn sàng; chưa login</t>
  </si>
  <si>
    <t>First Name: QA; Last Name: Tester; Email: qa.test@magento.test; Pass: QATest123!</t>
  </si>
  <si>
    <t>1. Chọn "Create an Account"; 2. Nhập đầy đủ thông tin vào form; 3. Click "Create an Account"</t>
  </si>
  <si>
    <t>Hệ thống báo đăng ký thành công, tự động login và chuyển đến trang My Account.</t>
  </si>
  <si>
    <t>TC_CUSTOMER_001_PASS.png</t>
  </si>
  <si>
    <t>Hoàng Minh Phương</t>
  </si>
  <si>
    <t>TC_CUSTOMER_002</t>
  </si>
  <si>
    <t>Đăng nhập tài khoản khách hàng thành công</t>
  </si>
  <si>
    <t>Đã tạo tài khoản từ TC_CUSTOMER_001</t>
  </si>
  <si>
    <t>Email: qa.test@magento.test; Pass: QATest123!</t>
  </si>
  <si>
    <t>1. Chọn "Sign In"; 2. Nhập email và password; 3. Click "Sign In"</t>
  </si>
  <si>
    <t>Đăng nhập thành công, góc trên màn hình hiển thị tên "Welcome, QA Tester!".</t>
  </si>
  <si>
    <t>TC_CUSTOMER_002_PASS.png</t>
  </si>
  <si>
    <t>TC_CUSTOMER_003</t>
  </si>
  <si>
    <t>Kiểm tra chức năng đổi mật khẩu</t>
  </si>
  <si>
    <t>Tài khoản đã tồn tại</t>
  </si>
  <si>
    <t>Current Password : QATest123!
New Password : Longga@12
Confirm New Password: Longga@12</t>
  </si>
  <si>
    <t>1. Đang trong phiên đăng nhập&gt; "ChangeYour Password?"; 2. Nhập Email; 3. Click "ChangeYour Password"</t>
  </si>
  <si>
    <t>Hệ thống thông báo đổi mật khẩu thành công.</t>
  </si>
  <si>
    <t>TC_CUSTOMER_003_PASS.png</t>
  </si>
  <si>
    <t>TC_CHECKOUT_001</t>
  </si>
  <si>
    <t>Checkout</t>
  </si>
  <si>
    <t>Checkout thành công với tư cách Guest (Khách vãng lai)</t>
  </si>
  <si>
    <t>Đã thêm Joust Duffle Bag vào giỏ; chưa login</t>
  </si>
  <si>
    <t>Email: guest@test.com; Address: 123 Street; City: HCM; Phone: 0987654321; Ship: Flat Rate</t>
  </si>
  <si>
    <t>1. Mở Giỏ hàng &gt; Click "Proceed to Checkout"; 2. Nhập email và địa chỉ giao hàng; 3. Chọn Shipping Method &gt; Next; 4. Chọn Payment (Check/Money Order) &gt; Place Order</t>
  </si>
  <si>
    <t>Hệ thống chuyển sang trang Success, sinh mã Order ID. Giỏ hàng được làm sạch.</t>
  </si>
  <si>
    <t>TC_CHECKOUT_001_PASS.png</t>
  </si>
  <si>
    <t>TC_CHECKOUT_002</t>
  </si>
  <si>
    <t>Checkout thành công với tư cách Customer (Đã login)</t>
  </si>
  <si>
    <t>Đã login; Đã thêm sản phẩm vào giỏ</t>
  </si>
  <si>
    <t>Address đã lưu trong sổ địa chỉ</t>
  </si>
  <si>
    <t>1. Mở Checkout; 2. Xác nhận địa chỉ đã lưu tự động điền; 3. Chọn Shipping &gt; Next; 4. Chọn Payment &gt; Place Order</t>
  </si>
  <si>
    <t>Trang Success hiển thị Order ID. Đơn hàng được lưu vào lịch sử "My Orders" của tài khoản.</t>
  </si>
  <si>
    <t>TC_CHECKOUT_002_PASS.png</t>
  </si>
  <si>
    <t>TC_CHECKOUT_003</t>
  </si>
  <si>
    <t>Kiểm tra validation bỏ trống thông tin bắt buộc khi Checkout</t>
  </si>
  <si>
    <t>Đang ở bước điền thông tin Shipping</t>
  </si>
  <si>
    <t>Email: [Bỏ trống], Address: [Bỏ trống]</t>
  </si>
  <si>
    <t>1. Vào Checkout; 2. Để trống các trường bắt buộc có dấu (*); 3. Cố gắng chọn Shipping Method và bấm Next</t>
  </si>
  <si>
    <t>Hệ thống chặn không cho sang bước Payment. Hiển thị cảnh báo màu đỏ "This is a required field" dưới các ô trống.</t>
  </si>
  <si>
    <t>TC_CHECKOUT_003_PASS.png</t>
  </si>
  <si>
    <t>TC_EMAIL_001</t>
  </si>
  <si>
    <t>Email</t>
  </si>
  <si>
    <t>Kiểm tra Email xác nhận đơn hàng qua Mailcatcher</t>
  </si>
  <si>
    <t>Vừa thực hiện đặt hàng thành công (TC_CHECKOUT_001/002)</t>
  </si>
  <si>
    <t>Truy cập http://localhost:1080/</t>
  </si>
  <si>
    <t>1. Mở Mailcatcher URL; 2. Kiểm tra Inbox xem có email mới từ hệ thống Magento không; 3. Mở xem nội dung email</t>
  </si>
  <si>
    <t>Có email với tiêu đề "Main Website Store Order Confirmation". Nội dung chứa đúng Order ID và tổng tiền.</t>
  </si>
  <si>
    <t>TC_EMAIL_001_PASS.png</t>
  </si>
  <si>
    <t>TC_EMAIL_002</t>
  </si>
  <si>
    <t>Kiểm tra Email đăng ký tài khoản qua Mailcatcher</t>
  </si>
  <si>
    <t>Vừa đăng ký thành công (TC_CUSTOMER_001)</t>
  </si>
  <si>
    <t>1. Mở Mailcatcher URL; 2. Tìm email Welcome; 3. Kiểm tra nội dung email</t>
  </si>
  <si>
    <t>Có email "Welcome to Main Website Store" hiển thị đúng tên khách hàng vừa đăng ký.</t>
  </si>
  <si>
    <t>TC_CHECKOUT_004</t>
  </si>
  <si>
    <t>Database</t>
  </si>
  <si>
    <t>Kiểm tra dữ liệu đơn hàng trong db</t>
  </si>
  <si>
    <t>Vừa đặt hàng thành công; có mã Order ID</t>
  </si>
  <si>
    <t>Truy cập http://localhost:8080/ (PhpMyAdmin)</t>
  </si>
  <si>
    <t>1. Mở PhpMyAdmin; 2. Tìm bảng sales_order; 3. Tìm kiếm theo mã Order ID vừa tạo; 4. Đối chiếu tổng tiền, email khách</t>
  </si>
  <si>
    <t>Bản ghi đơn hàng tồn tại trong database, lưu chính xác thông tin grand_total, customer_email, và status là 'pending'.</t>
  </si>
  <si>
    <t>TC_CHECKOUT_004_PASS.png</t>
  </si>
  <si>
    <t>Related Test Case</t>
  </si>
  <si>
    <t>Title</t>
  </si>
  <si>
    <t>Severity</t>
  </si>
  <si>
    <t>Environment</t>
  </si>
  <si>
    <t>Steps to Reproduce</t>
  </si>
  <si>
    <t>Note</t>
  </si>
  <si>
    <t>TC_ADMIN_008, TC_ADMIN_009, TC_ADMIN_010</t>
  </si>
  <si>
    <t>Trang Add Product bị lỗi ErrorException, không hiển thị form tạo sản phẩm</t>
  </si>
  <si>
    <t>Magento/Mage-OS local QA, https://magento.test/admin/, PHP 8.5.6</t>
  </si>
  <si>
    <t>1. Login admin; 2. Vào Catalog &gt; Products; 3. Click Add Product hoặc chọn Simple Product</t>
  </si>
  <si>
    <t>Hệ thống hiển thị form tạo sản phẩm mới</t>
  </si>
  <si>
    <t>Hệ thống hiển thị trang lỗi ErrorException: “Using null as an array offset is deprecated, use an empty string instead”</t>
  </si>
  <si>
    <t>Open</t>
  </si>
  <si>
    <t>Lỗi liên quan ProductRepository và MageOS AutomaticTranslation UI DataProvider</t>
  </si>
  <si>
    <t>BUG_SECURITY_001</t>
  </si>
  <si>
    <t>Security Scan / Frontend JS Library</t>
  </si>
  <si>
    <t>OWASP ZAP phát hiện thư viện JavaScript underscore.js có lỗ hổng bảo mật</t>
  </si>
  <si>
    <t>Magento/Mage-OS local QA, https://magento.test/, OWASP ZAP 2.17.0</t>
  </si>
  <si>
    <t>1. Mở OWASP ZAP; 2. Thực hiện Manual Explore/Passive Scan frontend Magento; 3. Duyệt trang frontend qua ZAP; 4. Mở tab Alerts; 5. Kiểm tra alert Vulnerable JS Library</t>
  </si>
  <si>
    <t>Website không sử dụng thư viện JavaScript có lỗ hổng High/Critical</t>
  </si>
  <si>
    <t>ZAP phát hiện underscore.js version 1.13.7 có lỗ hổng, Risk: High, Confidence: Medium</t>
  </si>
  <si>
    <t>TC_ZAP_001_HIGH_ALERT.png</t>
  </si>
  <si>
    <t>Finding được phát hiện bởi ZAP Passive Scan, nguồn Passive 10003 - Vulnerable JS Library powered by Retire.js</t>
  </si>
  <si>
    <t>BUG_SECURITY_002</t>
  </si>
  <si>
    <t>Security Scan / CSRF</t>
  </si>
  <si>
    <t>OWASP ZAP cảnh báo thiếu Anti-CSRF Token ở form frontend</t>
  </si>
  <si>
    <t>1. Mở OWASP ZAP; 2. Thực hiện Manual Explore/Passive Scan frontend; 3. Duyệt trang chủ và các luồng frontend; 4. Mở tab Alerts; 5. Chọn alert Absence of Anti-CSRF Tokens</t>
  </si>
  <si>
    <t>Hệ thống nên có cơ chế chống CSRF đối với các form có hành động thay đổi dữ liệu</t>
  </si>
  <si>
    <t>ZAP phát hiện cảnh báo Absence of Anti-CSRF Tokens, Risk: Medium, Confidence: Low</t>
  </si>
  <si>
    <t>TC_ZAP_001_MED_CSRF.png</t>
  </si>
  <si>
    <t>Open / Need Review</t>
  </si>
  <si>
    <t>Cần xác minh thêm vì Magento thường dùng form_key; có thể là false positive nếu form_key vẫn được gửi đúng</t>
  </si>
  <si>
    <t>BUG_SECURITY_003</t>
  </si>
  <si>
    <t>Security Scan / CSP</t>
  </si>
  <si>
    <t>OWASP ZAP phát hiện nhiều cảnh báo Content Security Policy cấu hình chưa chặt chẽ</t>
  </si>
  <si>
    <t>1. Mở OWASP ZAP; 2. Thực hiện Manual Explore/Passive Scan frontend; 3. Duyệt các trang frontend như checkout, product, cart; 4. Mở tab Alerts; 5. Kiểm tra các cảnh báo CSP</t>
  </si>
  <si>
    <t>CSP nên được cấu hình chặt chẽ, hạn chế wildcard, unsafe-eval, unsafe-inline và nên được gửi ở các response phù hợp</t>
  </si>
  <si>
    <t>ZAP phát hiện các cảnh báo CSP gồm Wildcard Directive, script-src unsafe-eval, script-src unsafe-hashes, style-src unsafe-inline và CSP Header Not Set</t>
  </si>
  <si>
    <t>TC_ZAP_001_MED_CSP_WILDCARD.png; TC_ZAP_001_MED_CSP_UNSAFE_EVAL.png; TC_ZAP_001_MED_CSP_UNSAFE_HASHES.png; TC_ZAP_001_MED_CSP_UNSAFE_INLINE.png; TC_ZAP_001_MED_CSP_HEADER_NOT_SET.png</t>
  </si>
  <si>
    <t>Các cảnh báo CSP là Medium, cần đánh giá thêm trong môi trường production; trong bài kiểm thử ghi nhận là security finding.</t>
  </si>
  <si>
    <t>Security Case ID</t>
  </si>
  <si>
    <t>Target</t>
  </si>
  <si>
    <t>Payload/Input</t>
  </si>
  <si>
    <t>Tool</t>
  </si>
  <si>
    <t>Risk Level</t>
  </si>
  <si>
    <t>Recommendation</t>
  </si>
  <si>
    <t>TC_ZAP_001_HIGH_001</t>
  </si>
  <si>
    <t>https://magento.test/static/version1781168398/frontend/Magento/luma/en_US/underscore.js</t>
  </si>
  <si>
    <t>Passive Scan / Retire.js detection</t>
  </si>
  <si>
    <t>OWASP ZAP</t>
  </si>
  <si>
    <t>Không phát hiện thư viện JavaScript có lỗ hổng High/Critical</t>
  </si>
  <si>
    <t>ZAP phát hiện Vulnerable JS Library: underscore.js version 1.13.7, Risk: High, Confidence: Medium</t>
  </si>
  <si>
    <t>Kiểm tra version thư viện underscore.js đang được Magento/Mage-OS sử dụng và nâng cấp lên phiên bản an toàn hơn nếu có thể.</t>
  </si>
  <si>
    <t>TC_ZAP_001_MED_001</t>
  </si>
  <si>
    <t>https://magento.test/</t>
  </si>
  <si>
    <t>Passive Scan / HTML form analysis</t>
  </si>
  <si>
    <t>Website cần có cơ chế chống CSRF cho các form có hành động thay đổi dữ liệu</t>
  </si>
  <si>
    <t>ZAP phát hiện cảnh báo Absence of Anti-CSRF Tokens tại form frontend, Risk: Medium, Confidence: Low</t>
  </si>
  <si>
    <t>Kiểm tra lại form frontend và xác nhận Magento form_key có được gửi đúng không; nếu thiếu token thật thì cần bổ sung/cấu hình lại CSRF protection</t>
  </si>
  <si>
    <t>TC_ZAP_001_MED_002</t>
  </si>
  <si>
    <t>https://magento.test/checkout/</t>
  </si>
  <si>
    <t>Content-Security-Policy header</t>
  </si>
  <si>
    <t>CSP nên hạn chế wildcard directive để giảm nguy cơ tải script/style từ nguồn không mong muốn</t>
  </si>
  <si>
    <t>ZAP phát hiện CSP: Wildcard Directive tại trang checkout, Risk: Medium, Confidence: High</t>
  </si>
  <si>
    <t>TC_ZAP_001_MED_CSP_WILDCARD.png</t>
  </si>
  <si>
    <t>Cấu hình CSP chặt chẽ hơn, hạn chế wildcard và chỉ cho phép các domain cần thiết</t>
  </si>
  <si>
    <t>TC_ZAP_001_MED_003</t>
  </si>
  <si>
    <t>CSP không nên sử dụng script-src unsafe-eval nếu không thật sự cần thiết</t>
  </si>
  <si>
    <t>ZAP phát hiện CSP: script-src unsafe-eval tại trang checkout, Risk: Medium, Confidence: High</t>
  </si>
  <si>
    <t>TC_ZAP_001_MED_CSP_UNSAFE_EVAL.png</t>
  </si>
  <si>
    <t>Rà soát các script cần unsafe-eval và loại bỏ nếu có thể; cấu hình CSP an toàn hơn</t>
  </si>
  <si>
    <t>TC_ZAP_001_MED_004</t>
  </si>
  <si>
    <t>CSP nên hạn chế cấu hình script-src unsafe-hashes nếu không cần thiết</t>
  </si>
  <si>
    <t>ZAP phát hiện CSP: script-src unsafe-hashes tại trang checkout, Risk: Medium, Confidence: High</t>
  </si>
  <si>
    <t>TC_ZAP_001_MED_CSP_UNSAFE_HASHES.png</t>
  </si>
  <si>
    <t>Rà soát cấu hình CSP script-src và chỉ giữ các nguồn/hashes cần thiết</t>
  </si>
  <si>
    <t>TC_ZAP_001_MED_005</t>
  </si>
  <si>
    <t>CSP không nên dùng style-src unsafe-inline nếu có thể thay thế bằng nonce/hash hoặc file CSS hợp lệ</t>
  </si>
  <si>
    <t>ZAP phát hiện CSP: style-src unsafe-inline tại trang checkout, Risk: Medium, Confidence: High</t>
  </si>
  <si>
    <t>TC_ZAP_001_MED_CSP_UNSAFE_INLINE.png</t>
  </si>
  <si>
    <t>Hạn chế inline style; ưu tiên cấu hình CSP chặt chẽ hơn bằng nonce/hash hoặc stylesheet tin cậy</t>
  </si>
  <si>
    <t>TC_ZAP_001_MED_006</t>
  </si>
  <si>
    <t>https://magento.test/static/version1781168398/frontend/Magento/luma/en_US/Magento_Ui/templates/modal/modal-popup.html</t>
  </si>
  <si>
    <t>Passive Scan / HTTP response header</t>
  </si>
  <si>
    <t>Các response nên có Content-Security-Policy header phù hợp</t>
  </si>
  <si>
    <t>ZAP phát hiện Content Security Policy Header Not Set tại static resource modal-popup.html, Risk: Medium, Confidence: High</t>
  </si>
  <si>
    <t>TC_ZAP_001_MED_CSP_HEADER_NOT_SET.png</t>
  </si>
  <si>
    <t>Cấu hình web server/application để gửi CSP header phù hợp cho các response cần thiết</t>
  </si>
  <si>
    <t>Automation Case ID</t>
  </si>
  <si>
    <t>Tool/Framework</t>
  </si>
  <si>
    <t>Browser</t>
  </si>
  <si>
    <t>Script File</t>
  </si>
  <si>
    <t>Test Flow</t>
  </si>
  <si>
    <t>Expected Checkpoint</t>
  </si>
  <si>
    <t>Screenshot/Log</t>
  </si>
  <si>
    <t>Selenium WebDriver</t>
  </si>
  <si>
    <t>Chrome</t>
  </si>
  <si>
    <t>test_auto_001_home.py</t>
  </si>
  <si>
    <t>1. Chạy script; 2. Chrome mở trang chủ; 3. Kiểm tra title/element chính</t>
  </si>
  <si>
    <t>Trang chủ hiển thị thành công, không lỗi browser/driver</t>
  </si>
  <si>
    <t>Script chạy thành công, trang chủ Magento hiển thị và screenshot được lưu tại evidence</t>
  </si>
  <si>
    <t>test_auto_002_search.py</t>
  </si>
  <si>
    <t>1. Mở trang chủ; 2. Nhập từ khóa bag; 3. Submit search; 4. Kiểm tra trang kết quả</t>
  </si>
  <si>
    <t>Trang kết quả tìm kiếm hiển thị, có sản phẩm hoặc nội dung liên quan đến từ khóa bag</t>
  </si>
  <si>
    <t>Script chạy thành công, trang kết quả tìm kiếm hiển thị hợp lệ và screenshot được lưu tại evidence</t>
  </si>
  <si>
    <t>test_auto_003_product_detail.py</t>
  </si>
  <si>
    <t>1. Mở trang chi tiết sản phẩm; 2. Kiểm tra tên sản phẩm; 3. Kiểm tra nút Add to Cart</t>
  </si>
  <si>
    <t>Trang chi tiết sản phẩm hiển thị đúng, tên sản phẩm và nút Add to Cart xuất hiện</t>
  </si>
  <si>
    <t>Script chạy thành công, trang chi tiết sản phẩm Joust Duffle Bag hiển thị đúng và screenshot được lưu tại evidence</t>
  </si>
  <si>
    <t>test_auto_004_add_to_cart.py</t>
  </si>
  <si>
    <t>1. Mở product detail; 2. Click Add to Cart; 3. Chờ thông báo hoặc cart count; 4. Lưu screenshot</t>
  </si>
  <si>
    <t>Sản phẩm được thêm vào giỏ hàng, có thông báo thành công hoặc mini cart/cart count cập nhật</t>
  </si>
  <si>
    <t>Script chạy thành công, sản phẩm mẫu được thêm vào giỏ hàng và screenshot được lưu tại evidence</t>
  </si>
  <si>
    <t>test_auto_005_update_cart_qty.py</t>
  </si>
  <si>
    <t>1. Mở product detail; 2. Add to Cart; 3. Mở cart; 4. Đổi quantity từ 1 thành 2; 5. Click Update Shopping Cart; 6. Kiểm tra quantity/subtotal/cart count</t>
  </si>
  <si>
    <t xml:space="preserve">Quantity trong cart được cập nhật thành 2; subtotal/cart total thay đổi phù hợp; không lỗi browser/driver </t>
  </si>
  <si>
    <t>Script cập nhật quantity trong cart thành công và lưu screenshot evidence</t>
  </si>
  <si>
    <t>Total TC</t>
  </si>
  <si>
    <t>Not Run</t>
  </si>
  <si>
    <t>Pass Rate</t>
  </si>
  <si>
    <t>Total Bugs</t>
  </si>
  <si>
    <t>High Bugs</t>
  </si>
  <si>
    <t>Medium Bugs</t>
  </si>
  <si>
    <t>Open Bugs</t>
  </si>
  <si>
    <t>Module / Scope</t>
  </si>
  <si>
    <t>Criteria</t>
  </si>
  <si>
    <t>Bug Count</t>
  </si>
  <si>
    <t>Nhận xét</t>
  </si>
  <si>
    <t>Admin Testing</t>
  </si>
  <si>
    <t>TC_ADMIN</t>
  </si>
  <si>
    <t>Admin login, product grid và order hoạt động; Add Product lỗi ErrorException làm 1 Fail và 2 Blocked.</t>
  </si>
  <si>
    <t>Security Basic Manual</t>
  </si>
  <si>
    <t>TC_SECURITY</t>
  </si>
  <si>
    <t>Các kiểm thử thủ công pass: login sai không bypass, XSS search không thực thi script.</t>
  </si>
  <si>
    <t>TC_ZAP</t>
  </si>
  <si>
    <t>ZAP passive scan phát hiện 1 High vulnerable JS library và các cảnh báo Medium về CSRF/CSP.</t>
  </si>
  <si>
    <t>TC_AUTO</t>
  </si>
  <si>
    <t>5 script Selenium đều pass: Home, Search, Product Detail, Add to Cart, Update Cart Qty.</t>
  </si>
  <si>
    <t>Tổng</t>
  </si>
  <si>
    <t>Tổng hợp toàn bộ phần kiểm thử của Thành viên 4.</t>
  </si>
  <si>
    <t>Bug Severity</t>
  </si>
  <si>
    <t>Count</t>
  </si>
  <si>
    <t>Ghi chú</t>
  </si>
  <si>
    <t>BUG_ADMIN_001 và BUG_SECURITY_001 là các lỗi cần ưu tiên xử lý.</t>
  </si>
  <si>
    <t>CSRF cần xác minh thêm; nhóm CSP cần rà soát cấu hình.</t>
  </si>
  <si>
    <t>Không ghi nhận bug Low trong Bug report.</t>
  </si>
  <si>
    <t>Tổng bug</t>
  </si>
  <si>
    <t>Tổng số bug/finding đang được ghi nhận trong Bug report.</t>
  </si>
  <si>
    <t>Nhận xét tổng hợp</t>
  </si>
  <si>
    <t>1</t>
  </si>
  <si>
    <t>Nhìn chung, các chức năng đăng nhập admin, xem danh sách sản phẩm, tìm kiếm sản phẩm, xem danh sách/chi tiết đơn hàng và các script Selenium automation đều hoạt động đúng trong phạm vi kiểm thử.</t>
  </si>
  <si>
    <t>2</t>
  </si>
  <si>
    <t>Phần Admin Product phát hiện lỗi nghiêm trọng khi mở trang Add Product: hệ thống hiển thị ErrorException, làm test case tạo product và cập nhật product bị Blocked.</t>
  </si>
  <si>
    <t>3</t>
  </si>
  <si>
    <t>Phần Security/ZAP ghi nhận 1 cảnh báo High về vulnerable JavaScript library và các cảnh báo Medium liên quan Anti-CSRF token/CSP. Các finding này đã được ghi vào Security Findings và Bug report.</t>
  </si>
  <si>
    <t>4</t>
  </si>
  <si>
    <t>Không có test case nào ở trạng thái Not Run; các test case bị Blocked đều có nguyên nhân rõ ràng và liên kết với BUG_ADMIN_001.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</si>
</sst>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&quot;Times New Roman&quot;"/>
    </font>
    <font>
      <sz val="11.0"/>
      <color rgb="FF000000"/>
      <name val="&quot;Times New Roman&quot;"/>
    </font>
    <font>
      <color theme="1"/>
      <name val="Arial"/>
      <scheme val="minor"/>
    </font>
    <font>
      <sz val="11.0"/>
      <color rgb="FF303030"/>
      <name val="Times New Roman"/>
    </font>
    <font>
      <sz val="10.0"/>
      <color theme="1"/>
      <name val="Arial"/>
    </font>
    <font>
      <sz val="10.0"/>
      <color rgb="FF000000"/>
      <name val="Arial"/>
    </font>
    <font>
      <sz val="10.0"/>
      <color rgb="FF0000FF"/>
      <name val="Arial"/>
    </font>
    <font>
      <u/>
      <sz val="10.0"/>
      <color rgb="FF0000FF"/>
      <name val="Arial"/>
    </font>
    <font>
      <b/>
      <sz val="10.0"/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F7FBFF"/>
        <bgColor rgb="FFF7FBFF"/>
      </patternFill>
    </fill>
  </fills>
  <borders count="6">
    <border/>
    <border>
      <bottom style="thin">
        <color rgb="FFDDE1EB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6" numFmtId="0" xfId="0" applyAlignment="1" applyBorder="1" applyFill="1" applyFont="1">
      <alignment readingOrder="0" shrinkToFit="0" vertical="top" wrapText="1"/>
    </xf>
    <xf borderId="1" fillId="2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2" fillId="3" fontId="11" numFmtId="0" xfId="0" applyAlignment="1" applyBorder="1" applyFill="1" applyFont="1">
      <alignment horizontal="center" vertical="center"/>
    </xf>
    <xf borderId="2" fillId="4" fontId="11" numFmtId="0" xfId="0" applyAlignment="1" applyBorder="1" applyFill="1" applyFont="1">
      <alignment horizontal="center" vertical="center"/>
    </xf>
    <xf borderId="2" fillId="4" fontId="11" numFmtId="10" xfId="0" applyAlignment="1" applyBorder="1" applyFont="1" applyNumberFormat="1">
      <alignment horizontal="center" vertical="center"/>
    </xf>
    <xf borderId="0" fillId="0" fontId="8" numFmtId="0" xfId="0" applyFont="1"/>
    <xf borderId="0" fillId="0" fontId="8" numFmtId="0" xfId="0" applyAlignment="1" applyFont="1">
      <alignment shrinkToFit="0" vertical="center" wrapText="1"/>
    </xf>
    <xf borderId="0" fillId="0" fontId="8" numFmtId="10" xfId="0" applyAlignment="1" applyFont="1" applyNumberFormat="1">
      <alignment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5" fillId="0" fontId="12" numFmtId="0" xfId="0" applyBorder="1" applyFont="1"/>
    <xf borderId="3" fillId="3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est_auto_005_update_cart_qty.py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2.63"/>
    <col customWidth="1" min="3" max="3" width="16.63"/>
    <col customWidth="1" min="4" max="4" width="28.88"/>
    <col customWidth="1" min="5" max="5" width="10.13"/>
    <col customWidth="1" min="6" max="6" width="31.25"/>
    <col customWidth="1" min="7" max="7" width="30.5"/>
    <col customWidth="1" min="8" max="8" width="45.75"/>
    <col customWidth="1" min="9" max="9" width="48.63"/>
    <col customWidth="1" min="10" max="10" width="47.5"/>
    <col customWidth="1" min="11" max="11" width="8.75"/>
    <col customWidth="1" min="12" max="12" width="16.63"/>
    <col customWidth="1" min="13" max="13" width="16.0"/>
    <col customWidth="1" min="14" max="14" width="19.88"/>
    <col customWidth="1" min="15" max="15" width="9.13"/>
    <col customWidth="1" min="16" max="25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49.5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5" t="s">
        <v>25</v>
      </c>
      <c r="L2" s="4"/>
      <c r="M2" s="4" t="s">
        <v>26</v>
      </c>
      <c r="N2" s="4" t="s">
        <v>27</v>
      </c>
      <c r="O2" s="6">
        <v>46180.0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9.5" customHeight="1">
      <c r="A3" s="4" t="s">
        <v>28</v>
      </c>
      <c r="B3" s="4" t="s">
        <v>16</v>
      </c>
      <c r="C3" s="4" t="s">
        <v>17</v>
      </c>
      <c r="D3" s="4" t="s">
        <v>29</v>
      </c>
      <c r="E3" s="4" t="s">
        <v>19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5" t="s">
        <v>25</v>
      </c>
      <c r="L3" s="4"/>
      <c r="M3" s="4" t="s">
        <v>35</v>
      </c>
      <c r="N3" s="4" t="s">
        <v>27</v>
      </c>
      <c r="O3" s="6">
        <v>46180.0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9.5" customHeight="1">
      <c r="A4" s="4" t="s">
        <v>36</v>
      </c>
      <c r="B4" s="4" t="s">
        <v>16</v>
      </c>
      <c r="C4" s="4" t="s">
        <v>17</v>
      </c>
      <c r="D4" s="4" t="s">
        <v>37</v>
      </c>
      <c r="E4" s="4" t="s">
        <v>19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5" t="s">
        <v>25</v>
      </c>
      <c r="L4" s="4"/>
      <c r="M4" s="4" t="s">
        <v>43</v>
      </c>
      <c r="N4" s="4" t="s">
        <v>27</v>
      </c>
      <c r="O4" s="6">
        <v>46180.0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9.5" customHeight="1">
      <c r="A5" s="4" t="s">
        <v>44</v>
      </c>
      <c r="B5" s="4" t="s">
        <v>45</v>
      </c>
      <c r="C5" s="4" t="s">
        <v>17</v>
      </c>
      <c r="D5" s="4" t="s">
        <v>46</v>
      </c>
      <c r="E5" s="4" t="s">
        <v>19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5" t="s">
        <v>25</v>
      </c>
      <c r="L5" s="4"/>
      <c r="M5" s="4" t="s">
        <v>52</v>
      </c>
      <c r="N5" s="4" t="s">
        <v>27</v>
      </c>
      <c r="O5" s="6">
        <v>46180.0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9.5" customHeight="1">
      <c r="A6" s="4" t="s">
        <v>53</v>
      </c>
      <c r="B6" s="4" t="s">
        <v>45</v>
      </c>
      <c r="C6" s="4" t="s">
        <v>17</v>
      </c>
      <c r="D6" s="4" t="s">
        <v>54</v>
      </c>
      <c r="E6" s="4" t="s">
        <v>19</v>
      </c>
      <c r="F6" s="4" t="s">
        <v>47</v>
      </c>
      <c r="G6" s="4" t="s">
        <v>55</v>
      </c>
      <c r="H6" s="4" t="s">
        <v>56</v>
      </c>
      <c r="I6" s="4" t="s">
        <v>57</v>
      </c>
      <c r="J6" s="4" t="s">
        <v>58</v>
      </c>
      <c r="K6" s="5" t="s">
        <v>25</v>
      </c>
      <c r="L6" s="4"/>
      <c r="M6" s="4" t="s">
        <v>59</v>
      </c>
      <c r="N6" s="4" t="s">
        <v>27</v>
      </c>
      <c r="O6" s="6">
        <v>46180.0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4" t="s">
        <v>60</v>
      </c>
      <c r="B7" s="4" t="s">
        <v>45</v>
      </c>
      <c r="C7" s="4" t="s">
        <v>17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5" t="s">
        <v>68</v>
      </c>
      <c r="L7" s="4" t="s">
        <v>69</v>
      </c>
      <c r="M7" s="4" t="s">
        <v>70</v>
      </c>
      <c r="N7" s="4" t="s">
        <v>27</v>
      </c>
      <c r="O7" s="6">
        <v>46180.0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4" t="s">
        <v>71</v>
      </c>
      <c r="B8" s="4" t="s">
        <v>45</v>
      </c>
      <c r="C8" s="4" t="s">
        <v>72</v>
      </c>
      <c r="D8" s="4" t="s">
        <v>73</v>
      </c>
      <c r="E8" s="4" t="s">
        <v>19</v>
      </c>
      <c r="F8" s="4" t="s">
        <v>74</v>
      </c>
      <c r="G8" s="4" t="s">
        <v>75</v>
      </c>
      <c r="H8" s="4" t="s">
        <v>76</v>
      </c>
      <c r="I8" s="4" t="s">
        <v>77</v>
      </c>
      <c r="J8" s="4" t="s">
        <v>78</v>
      </c>
      <c r="K8" s="5" t="s">
        <v>79</v>
      </c>
      <c r="L8" s="4" t="s">
        <v>69</v>
      </c>
      <c r="M8" s="4" t="s">
        <v>70</v>
      </c>
      <c r="N8" s="4" t="s">
        <v>27</v>
      </c>
      <c r="O8" s="6">
        <v>46180.0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9.5" customHeight="1">
      <c r="A9" s="4" t="s">
        <v>80</v>
      </c>
      <c r="B9" s="4" t="s">
        <v>45</v>
      </c>
      <c r="C9" s="4" t="s">
        <v>72</v>
      </c>
      <c r="D9" s="4" t="s">
        <v>81</v>
      </c>
      <c r="E9" s="4" t="s">
        <v>62</v>
      </c>
      <c r="F9" s="4" t="s">
        <v>82</v>
      </c>
      <c r="G9" s="4" t="s">
        <v>83</v>
      </c>
      <c r="H9" s="4" t="s">
        <v>84</v>
      </c>
      <c r="I9" s="4" t="s">
        <v>85</v>
      </c>
      <c r="J9" s="4" t="s">
        <v>86</v>
      </c>
      <c r="K9" s="5" t="s">
        <v>79</v>
      </c>
      <c r="L9" s="4" t="s">
        <v>69</v>
      </c>
      <c r="M9" s="4" t="s">
        <v>70</v>
      </c>
      <c r="N9" s="4" t="s">
        <v>27</v>
      </c>
      <c r="O9" s="6">
        <v>46180.0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9.5" customHeight="1">
      <c r="A10" s="4" t="s">
        <v>87</v>
      </c>
      <c r="B10" s="4" t="s">
        <v>88</v>
      </c>
      <c r="C10" s="4" t="s">
        <v>17</v>
      </c>
      <c r="D10" s="4" t="s">
        <v>89</v>
      </c>
      <c r="E10" s="4" t="s">
        <v>19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93</v>
      </c>
      <c r="K10" s="5" t="s">
        <v>25</v>
      </c>
      <c r="L10" s="4"/>
      <c r="M10" s="4" t="s">
        <v>94</v>
      </c>
      <c r="N10" s="4" t="s">
        <v>27</v>
      </c>
      <c r="O10" s="6">
        <v>46180.0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9.5" customHeight="1">
      <c r="A11" s="4" t="s">
        <v>95</v>
      </c>
      <c r="B11" s="4" t="s">
        <v>88</v>
      </c>
      <c r="C11" s="4" t="s">
        <v>17</v>
      </c>
      <c r="D11" s="4" t="s">
        <v>96</v>
      </c>
      <c r="E11" s="4" t="s">
        <v>62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100</v>
      </c>
      <c r="K11" s="5" t="s">
        <v>25</v>
      </c>
      <c r="L11" s="4"/>
      <c r="M11" s="4" t="s">
        <v>101</v>
      </c>
      <c r="N11" s="4" t="s">
        <v>27</v>
      </c>
      <c r="O11" s="6">
        <v>46180.0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9.5" customHeight="1">
      <c r="A12" s="4" t="s">
        <v>102</v>
      </c>
      <c r="B12" s="4" t="s">
        <v>88</v>
      </c>
      <c r="C12" s="4" t="s">
        <v>17</v>
      </c>
      <c r="D12" s="4" t="s">
        <v>103</v>
      </c>
      <c r="E12" s="4" t="s">
        <v>19</v>
      </c>
      <c r="F12" s="4" t="s">
        <v>104</v>
      </c>
      <c r="G12" s="4" t="s">
        <v>105</v>
      </c>
      <c r="H12" s="4" t="s">
        <v>106</v>
      </c>
      <c r="I12" s="4" t="s">
        <v>107</v>
      </c>
      <c r="J12" s="4" t="s">
        <v>107</v>
      </c>
      <c r="K12" s="5" t="s">
        <v>25</v>
      </c>
      <c r="L12" s="4"/>
      <c r="M12" s="4" t="s">
        <v>108</v>
      </c>
      <c r="N12" s="4" t="s">
        <v>27</v>
      </c>
      <c r="O12" s="6">
        <v>46180.0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08.5" customHeight="1">
      <c r="A13" s="4" t="s">
        <v>109</v>
      </c>
      <c r="B13" s="4" t="s">
        <v>110</v>
      </c>
      <c r="C13" s="4" t="s">
        <v>111</v>
      </c>
      <c r="D13" s="4" t="s">
        <v>112</v>
      </c>
      <c r="E13" s="4" t="s">
        <v>19</v>
      </c>
      <c r="F13" s="4" t="s">
        <v>30</v>
      </c>
      <c r="G13" s="8" t="s">
        <v>113</v>
      </c>
      <c r="H13" s="4" t="s">
        <v>114</v>
      </c>
      <c r="I13" s="4" t="s">
        <v>115</v>
      </c>
      <c r="J13" s="4" t="s">
        <v>115</v>
      </c>
      <c r="K13" s="5" t="s">
        <v>25</v>
      </c>
      <c r="L13" s="4"/>
      <c r="M13" s="4" t="s">
        <v>116</v>
      </c>
      <c r="N13" s="4" t="s">
        <v>27</v>
      </c>
      <c r="O13" s="6">
        <v>46180.0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02.75" customHeight="1">
      <c r="A14" s="4" t="s">
        <v>117</v>
      </c>
      <c r="B14" s="4" t="s">
        <v>118</v>
      </c>
      <c r="C14" s="4" t="s">
        <v>111</v>
      </c>
      <c r="D14" s="4" t="s">
        <v>119</v>
      </c>
      <c r="E14" s="4" t="s">
        <v>19</v>
      </c>
      <c r="F14" s="4" t="s">
        <v>120</v>
      </c>
      <c r="G14" s="9" t="s">
        <v>121</v>
      </c>
      <c r="H14" s="4" t="s">
        <v>122</v>
      </c>
      <c r="I14" s="4" t="s">
        <v>123</v>
      </c>
      <c r="J14" s="4" t="s">
        <v>124</v>
      </c>
      <c r="K14" s="5" t="s">
        <v>25</v>
      </c>
      <c r="L14" s="4"/>
      <c r="M14" s="4" t="s">
        <v>125</v>
      </c>
      <c r="N14" s="4" t="s">
        <v>27</v>
      </c>
      <c r="O14" s="6">
        <v>46180.0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4" t="s">
        <v>126</v>
      </c>
      <c r="B15" s="4" t="s">
        <v>127</v>
      </c>
      <c r="C15" s="4" t="s">
        <v>128</v>
      </c>
      <c r="D15" s="4" t="s">
        <v>129</v>
      </c>
      <c r="E15" s="4" t="s">
        <v>62</v>
      </c>
      <c r="F15" s="4" t="s">
        <v>130</v>
      </c>
      <c r="G15" s="4" t="s">
        <v>131</v>
      </c>
      <c r="H15" s="4" t="s">
        <v>132</v>
      </c>
      <c r="I15" s="4" t="s">
        <v>133</v>
      </c>
      <c r="J15" s="4" t="s">
        <v>134</v>
      </c>
      <c r="K15" s="5" t="s">
        <v>68</v>
      </c>
      <c r="L15" s="4" t="s">
        <v>135</v>
      </c>
      <c r="M15" s="4"/>
      <c r="N15" s="4" t="s">
        <v>27</v>
      </c>
      <c r="O15" s="6">
        <v>46180.0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9.5" customHeight="1">
      <c r="A16" s="4" t="s">
        <v>136</v>
      </c>
      <c r="B16" s="4" t="s">
        <v>137</v>
      </c>
      <c r="C16" s="4" t="s">
        <v>138</v>
      </c>
      <c r="D16" s="4" t="s">
        <v>139</v>
      </c>
      <c r="E16" s="4" t="s">
        <v>62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5" t="s">
        <v>25</v>
      </c>
      <c r="L16" s="4"/>
      <c r="M16" s="4" t="s">
        <v>145</v>
      </c>
      <c r="N16" s="4" t="s">
        <v>27</v>
      </c>
      <c r="O16" s="6">
        <v>46180.0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9.5" customHeight="1">
      <c r="A17" s="4" t="s">
        <v>146</v>
      </c>
      <c r="B17" s="4" t="s">
        <v>147</v>
      </c>
      <c r="C17" s="4" t="s">
        <v>138</v>
      </c>
      <c r="D17" s="4" t="s">
        <v>148</v>
      </c>
      <c r="E17" s="4" t="s">
        <v>62</v>
      </c>
      <c r="F17" s="4" t="s">
        <v>140</v>
      </c>
      <c r="G17" s="4" t="s">
        <v>149</v>
      </c>
      <c r="H17" s="4" t="s">
        <v>150</v>
      </c>
      <c r="I17" s="4" t="s">
        <v>151</v>
      </c>
      <c r="J17" s="4" t="s">
        <v>151</v>
      </c>
      <c r="K17" s="5" t="s">
        <v>25</v>
      </c>
      <c r="L17" s="4"/>
      <c r="M17" s="4" t="s">
        <v>152</v>
      </c>
      <c r="N17" s="4" t="s">
        <v>27</v>
      </c>
      <c r="O17" s="6">
        <v>46180.0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9.5" customHeight="1">
      <c r="A18" s="4" t="s">
        <v>153</v>
      </c>
      <c r="B18" s="4" t="s">
        <v>154</v>
      </c>
      <c r="C18" s="4" t="s">
        <v>138</v>
      </c>
      <c r="D18" s="4" t="s">
        <v>155</v>
      </c>
      <c r="E18" s="4" t="s">
        <v>62</v>
      </c>
      <c r="F18" s="4" t="s">
        <v>156</v>
      </c>
      <c r="G18" s="4" t="s">
        <v>55</v>
      </c>
      <c r="H18" s="4" t="s">
        <v>157</v>
      </c>
      <c r="I18" s="4" t="s">
        <v>158</v>
      </c>
      <c r="J18" s="4" t="s">
        <v>158</v>
      </c>
      <c r="K18" s="5" t="s">
        <v>25</v>
      </c>
      <c r="L18" s="4"/>
      <c r="M18" s="4" t="s">
        <v>159</v>
      </c>
      <c r="N18" s="4" t="s">
        <v>27</v>
      </c>
      <c r="O18" s="6">
        <v>46180.0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9.5" customHeight="1">
      <c r="A19" s="4" t="s">
        <v>160</v>
      </c>
      <c r="B19" s="4" t="s">
        <v>161</v>
      </c>
      <c r="C19" s="4" t="s">
        <v>138</v>
      </c>
      <c r="D19" s="4" t="s">
        <v>162</v>
      </c>
      <c r="E19" s="4" t="s">
        <v>62</v>
      </c>
      <c r="F19" s="4" t="s">
        <v>163</v>
      </c>
      <c r="G19" s="4" t="s">
        <v>55</v>
      </c>
      <c r="H19" s="4" t="s">
        <v>164</v>
      </c>
      <c r="I19" s="4" t="s">
        <v>165</v>
      </c>
      <c r="J19" s="4" t="s">
        <v>165</v>
      </c>
      <c r="K19" s="5" t="s">
        <v>25</v>
      </c>
      <c r="L19" s="4"/>
      <c r="M19" s="4" t="s">
        <v>166</v>
      </c>
      <c r="N19" s="4" t="s">
        <v>27</v>
      </c>
      <c r="O19" s="6">
        <v>46180.0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4" t="s">
        <v>167</v>
      </c>
      <c r="B20" s="4" t="s">
        <v>168</v>
      </c>
      <c r="C20" s="4" t="s">
        <v>138</v>
      </c>
      <c r="D20" s="4" t="s">
        <v>169</v>
      </c>
      <c r="E20" s="4" t="s">
        <v>62</v>
      </c>
      <c r="F20" s="4" t="s">
        <v>170</v>
      </c>
      <c r="G20" s="4" t="s">
        <v>171</v>
      </c>
      <c r="H20" s="4" t="s">
        <v>172</v>
      </c>
      <c r="I20" s="4" t="s">
        <v>173</v>
      </c>
      <c r="J20" s="4" t="s">
        <v>173</v>
      </c>
      <c r="K20" s="5" t="s">
        <v>25</v>
      </c>
      <c r="L20" s="4"/>
      <c r="M20" s="4" t="s">
        <v>174</v>
      </c>
      <c r="N20" s="4" t="s">
        <v>27</v>
      </c>
      <c r="O20" s="6">
        <v>46180.0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63.0" customHeight="1">
      <c r="A21" s="10" t="s">
        <v>175</v>
      </c>
      <c r="B21" s="10" t="s">
        <v>137</v>
      </c>
      <c r="C21" s="10" t="s">
        <v>176</v>
      </c>
      <c r="D21" s="10" t="s">
        <v>177</v>
      </c>
      <c r="E21" s="10" t="s">
        <v>19</v>
      </c>
      <c r="F21" s="10" t="s">
        <v>178</v>
      </c>
      <c r="G21" s="10" t="s">
        <v>179</v>
      </c>
      <c r="H21" s="10" t="s">
        <v>180</v>
      </c>
      <c r="I21" s="10" t="s">
        <v>181</v>
      </c>
      <c r="J21" s="11" t="s">
        <v>182</v>
      </c>
      <c r="K21" s="12" t="s">
        <v>25</v>
      </c>
      <c r="L21" s="13"/>
      <c r="M21" s="9" t="s">
        <v>183</v>
      </c>
      <c r="N21" s="9" t="s">
        <v>184</v>
      </c>
      <c r="O21" s="14">
        <v>46183.0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63.0" customHeight="1">
      <c r="A22" s="10" t="s">
        <v>185</v>
      </c>
      <c r="B22" s="10" t="s">
        <v>137</v>
      </c>
      <c r="C22" s="10" t="s">
        <v>176</v>
      </c>
      <c r="D22" s="10" t="s">
        <v>186</v>
      </c>
      <c r="E22" s="10" t="s">
        <v>19</v>
      </c>
      <c r="F22" s="10" t="s">
        <v>187</v>
      </c>
      <c r="G22" s="10" t="s">
        <v>188</v>
      </c>
      <c r="H22" s="10" t="s">
        <v>189</v>
      </c>
      <c r="I22" s="10" t="s">
        <v>190</v>
      </c>
      <c r="J22" s="11" t="s">
        <v>191</v>
      </c>
      <c r="K22" s="12" t="s">
        <v>25</v>
      </c>
      <c r="L22" s="13"/>
      <c r="M22" s="9" t="s">
        <v>192</v>
      </c>
      <c r="N22" s="9" t="s">
        <v>184</v>
      </c>
      <c r="O22" s="14">
        <v>46183.0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63.0" customHeight="1">
      <c r="A23" s="10" t="s">
        <v>193</v>
      </c>
      <c r="B23" s="10" t="s">
        <v>137</v>
      </c>
      <c r="C23" s="10" t="s">
        <v>176</v>
      </c>
      <c r="D23" s="10" t="s">
        <v>194</v>
      </c>
      <c r="E23" s="10" t="s">
        <v>62</v>
      </c>
      <c r="F23" s="10" t="s">
        <v>195</v>
      </c>
      <c r="G23" s="10" t="s">
        <v>196</v>
      </c>
      <c r="H23" s="10" t="s">
        <v>197</v>
      </c>
      <c r="I23" s="10" t="s">
        <v>198</v>
      </c>
      <c r="J23" s="13"/>
      <c r="K23" s="12" t="s">
        <v>25</v>
      </c>
      <c r="L23" s="13"/>
      <c r="M23" s="9" t="s">
        <v>199</v>
      </c>
      <c r="N23" s="9" t="s">
        <v>184</v>
      </c>
      <c r="O23" s="14">
        <v>46183.0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49.5" customHeight="1">
      <c r="A24" s="10" t="s">
        <v>200</v>
      </c>
      <c r="B24" s="10" t="s">
        <v>201</v>
      </c>
      <c r="C24" s="10" t="s">
        <v>176</v>
      </c>
      <c r="D24" s="10" t="s">
        <v>202</v>
      </c>
      <c r="E24" s="10" t="s">
        <v>19</v>
      </c>
      <c r="F24" s="10" t="s">
        <v>203</v>
      </c>
      <c r="G24" s="10" t="s">
        <v>204</v>
      </c>
      <c r="H24" s="10" t="s">
        <v>205</v>
      </c>
      <c r="I24" s="10" t="s">
        <v>206</v>
      </c>
      <c r="J24" s="15" t="s">
        <v>207</v>
      </c>
      <c r="K24" s="12" t="s">
        <v>25</v>
      </c>
      <c r="L24" s="13"/>
      <c r="M24" s="9" t="s">
        <v>208</v>
      </c>
      <c r="N24" s="9" t="s">
        <v>184</v>
      </c>
      <c r="O24" s="14">
        <v>46183.0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53.25" customHeight="1">
      <c r="A25" s="10" t="s">
        <v>209</v>
      </c>
      <c r="B25" s="10" t="s">
        <v>201</v>
      </c>
      <c r="C25" s="10" t="s">
        <v>176</v>
      </c>
      <c r="D25" s="10" t="s">
        <v>210</v>
      </c>
      <c r="E25" s="10" t="s">
        <v>62</v>
      </c>
      <c r="F25" s="10" t="s">
        <v>211</v>
      </c>
      <c r="G25" s="10" t="s">
        <v>212</v>
      </c>
      <c r="H25" s="10" t="s">
        <v>213</v>
      </c>
      <c r="I25" s="10" t="s">
        <v>214</v>
      </c>
      <c r="J25" s="15" t="s">
        <v>215</v>
      </c>
      <c r="K25" s="12" t="s">
        <v>25</v>
      </c>
      <c r="L25" s="13"/>
      <c r="M25" s="9" t="s">
        <v>216</v>
      </c>
      <c r="N25" s="9" t="s">
        <v>184</v>
      </c>
      <c r="O25" s="14">
        <v>46183.0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57.0" customHeight="1">
      <c r="A26" s="10" t="s">
        <v>217</v>
      </c>
      <c r="B26" s="10" t="s">
        <v>201</v>
      </c>
      <c r="C26" s="10" t="s">
        <v>176</v>
      </c>
      <c r="D26" s="10" t="s">
        <v>218</v>
      </c>
      <c r="E26" s="10" t="s">
        <v>62</v>
      </c>
      <c r="F26" s="10" t="s">
        <v>219</v>
      </c>
      <c r="G26" s="10" t="s">
        <v>220</v>
      </c>
      <c r="H26" s="10" t="s">
        <v>221</v>
      </c>
      <c r="I26" s="10" t="s">
        <v>222</v>
      </c>
      <c r="J26" s="15" t="s">
        <v>223</v>
      </c>
      <c r="K26" s="12" t="s">
        <v>25</v>
      </c>
      <c r="L26" s="13"/>
      <c r="M26" s="9" t="s">
        <v>224</v>
      </c>
      <c r="N26" s="9" t="s">
        <v>184</v>
      </c>
      <c r="O26" s="14">
        <v>46183.0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58.5" customHeight="1">
      <c r="A27" s="10" t="s">
        <v>225</v>
      </c>
      <c r="B27" s="10" t="s">
        <v>201</v>
      </c>
      <c r="C27" s="10" t="s">
        <v>176</v>
      </c>
      <c r="D27" s="10" t="s">
        <v>226</v>
      </c>
      <c r="E27" s="10" t="s">
        <v>227</v>
      </c>
      <c r="F27" s="10" t="s">
        <v>228</v>
      </c>
      <c r="G27" s="10" t="s">
        <v>229</v>
      </c>
      <c r="H27" s="10" t="s">
        <v>230</v>
      </c>
      <c r="I27" s="10" t="s">
        <v>231</v>
      </c>
      <c r="J27" s="15" t="s">
        <v>232</v>
      </c>
      <c r="K27" s="12" t="s">
        <v>25</v>
      </c>
      <c r="L27" s="13"/>
      <c r="M27" s="9" t="s">
        <v>233</v>
      </c>
      <c r="N27" s="9" t="s">
        <v>184</v>
      </c>
      <c r="O27" s="14">
        <v>46183.0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49.5" customHeight="1">
      <c r="A28" s="10" t="s">
        <v>234</v>
      </c>
      <c r="B28" s="10" t="s">
        <v>147</v>
      </c>
      <c r="C28" s="10" t="s">
        <v>176</v>
      </c>
      <c r="D28" s="10" t="s">
        <v>235</v>
      </c>
      <c r="E28" s="10" t="s">
        <v>19</v>
      </c>
      <c r="F28" s="10" t="s">
        <v>236</v>
      </c>
      <c r="G28" s="10" t="s">
        <v>237</v>
      </c>
      <c r="H28" s="10" t="s">
        <v>238</v>
      </c>
      <c r="I28" s="10" t="s">
        <v>239</v>
      </c>
      <c r="J28" s="15" t="s">
        <v>240</v>
      </c>
      <c r="K28" s="12" t="s">
        <v>25</v>
      </c>
      <c r="L28" s="13"/>
      <c r="M28" s="9" t="s">
        <v>241</v>
      </c>
      <c r="N28" s="9" t="s">
        <v>184</v>
      </c>
      <c r="O28" s="14">
        <v>46183.0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53.25" customHeight="1">
      <c r="A29" s="10" t="s">
        <v>242</v>
      </c>
      <c r="B29" s="10" t="s">
        <v>147</v>
      </c>
      <c r="C29" s="10" t="s">
        <v>176</v>
      </c>
      <c r="D29" s="10" t="s">
        <v>243</v>
      </c>
      <c r="E29" s="10" t="s">
        <v>62</v>
      </c>
      <c r="F29" s="10" t="s">
        <v>182</v>
      </c>
      <c r="G29" s="10" t="s">
        <v>244</v>
      </c>
      <c r="H29" s="10" t="s">
        <v>245</v>
      </c>
      <c r="I29" s="10" t="s">
        <v>246</v>
      </c>
      <c r="J29" s="15" t="s">
        <v>247</v>
      </c>
      <c r="K29" s="12" t="s">
        <v>25</v>
      </c>
      <c r="L29" s="13"/>
      <c r="M29" s="9" t="s">
        <v>248</v>
      </c>
      <c r="N29" s="9" t="s">
        <v>184</v>
      </c>
      <c r="O29" s="14">
        <v>46183.0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52.5" customHeight="1">
      <c r="A30" s="10" t="s">
        <v>249</v>
      </c>
      <c r="B30" s="10" t="s">
        <v>147</v>
      </c>
      <c r="C30" s="10" t="s">
        <v>176</v>
      </c>
      <c r="D30" s="10" t="s">
        <v>250</v>
      </c>
      <c r="E30" s="10" t="s">
        <v>62</v>
      </c>
      <c r="F30" s="10" t="s">
        <v>182</v>
      </c>
      <c r="G30" s="10" t="s">
        <v>251</v>
      </c>
      <c r="H30" s="10" t="s">
        <v>252</v>
      </c>
      <c r="I30" s="10" t="s">
        <v>253</v>
      </c>
      <c r="J30" s="15" t="s">
        <v>247</v>
      </c>
      <c r="K30" s="12" t="s">
        <v>25</v>
      </c>
      <c r="L30" s="13"/>
      <c r="M30" s="9" t="s">
        <v>254</v>
      </c>
      <c r="N30" s="9" t="s">
        <v>184</v>
      </c>
      <c r="O30" s="14">
        <v>46183.0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57.0" customHeight="1">
      <c r="A31" s="10" t="s">
        <v>255</v>
      </c>
      <c r="B31" s="10" t="s">
        <v>147</v>
      </c>
      <c r="C31" s="10" t="s">
        <v>176</v>
      </c>
      <c r="D31" s="10" t="s">
        <v>256</v>
      </c>
      <c r="E31" s="10" t="s">
        <v>62</v>
      </c>
      <c r="F31" s="10" t="s">
        <v>182</v>
      </c>
      <c r="G31" s="10" t="s">
        <v>257</v>
      </c>
      <c r="H31" s="10" t="s">
        <v>258</v>
      </c>
      <c r="I31" s="10" t="s">
        <v>259</v>
      </c>
      <c r="J31" s="15" t="s">
        <v>247</v>
      </c>
      <c r="K31" s="12" t="s">
        <v>25</v>
      </c>
      <c r="L31" s="13"/>
      <c r="M31" s="9" t="s">
        <v>260</v>
      </c>
      <c r="N31" s="9" t="s">
        <v>184</v>
      </c>
      <c r="O31" s="14">
        <v>46183.0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16" t="s">
        <v>261</v>
      </c>
      <c r="B32" s="16" t="s">
        <v>154</v>
      </c>
      <c r="C32" s="16" t="s">
        <v>17</v>
      </c>
      <c r="D32" s="16" t="s">
        <v>262</v>
      </c>
      <c r="E32" s="16" t="s">
        <v>19</v>
      </c>
      <c r="F32" s="16" t="s">
        <v>263</v>
      </c>
      <c r="G32" s="16" t="s">
        <v>264</v>
      </c>
      <c r="H32" s="16" t="s">
        <v>265</v>
      </c>
      <c r="I32" s="16" t="s">
        <v>266</v>
      </c>
      <c r="J32" s="16" t="s">
        <v>267</v>
      </c>
      <c r="K32" s="8" t="s">
        <v>25</v>
      </c>
      <c r="L32" s="17"/>
      <c r="M32" s="16" t="s">
        <v>268</v>
      </c>
      <c r="N32" s="16" t="s">
        <v>269</v>
      </c>
      <c r="O32" s="18">
        <v>46183.0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16" t="s">
        <v>270</v>
      </c>
      <c r="B33" s="16" t="s">
        <v>154</v>
      </c>
      <c r="C33" s="16" t="s">
        <v>17</v>
      </c>
      <c r="D33" s="16" t="s">
        <v>271</v>
      </c>
      <c r="E33" s="16" t="s">
        <v>19</v>
      </c>
      <c r="F33" s="16" t="s">
        <v>272</v>
      </c>
      <c r="G33" s="16" t="s">
        <v>264</v>
      </c>
      <c r="H33" s="16" t="s">
        <v>273</v>
      </c>
      <c r="I33" s="16" t="s">
        <v>274</v>
      </c>
      <c r="J33" s="16" t="s">
        <v>275</v>
      </c>
      <c r="K33" s="8" t="s">
        <v>25</v>
      </c>
      <c r="L33" s="17"/>
      <c r="M33" s="16" t="s">
        <v>276</v>
      </c>
      <c r="N33" s="16" t="s">
        <v>269</v>
      </c>
      <c r="O33" s="18">
        <v>46183.0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16" t="s">
        <v>277</v>
      </c>
      <c r="B34" s="16" t="s">
        <v>154</v>
      </c>
      <c r="C34" s="16" t="s">
        <v>17</v>
      </c>
      <c r="D34" s="16" t="s">
        <v>278</v>
      </c>
      <c r="E34" s="16" t="s">
        <v>19</v>
      </c>
      <c r="F34" s="16" t="s">
        <v>279</v>
      </c>
      <c r="G34" s="16" t="s">
        <v>280</v>
      </c>
      <c r="H34" s="16" t="s">
        <v>281</v>
      </c>
      <c r="I34" s="16" t="s">
        <v>282</v>
      </c>
      <c r="J34" s="16" t="s">
        <v>283</v>
      </c>
      <c r="K34" s="8" t="s">
        <v>25</v>
      </c>
      <c r="L34" s="17"/>
      <c r="M34" s="16" t="s">
        <v>284</v>
      </c>
      <c r="N34" s="16" t="s">
        <v>269</v>
      </c>
      <c r="O34" s="18">
        <v>46183.0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16" t="s">
        <v>285</v>
      </c>
      <c r="B35" s="16" t="s">
        <v>161</v>
      </c>
      <c r="C35" s="16" t="s">
        <v>17</v>
      </c>
      <c r="D35" s="16" t="s">
        <v>286</v>
      </c>
      <c r="E35" s="16" t="s">
        <v>19</v>
      </c>
      <c r="F35" s="16" t="s">
        <v>287</v>
      </c>
      <c r="G35" s="16" t="s">
        <v>280</v>
      </c>
      <c r="H35" s="16" t="s">
        <v>288</v>
      </c>
      <c r="I35" s="16" t="s">
        <v>289</v>
      </c>
      <c r="J35" s="16" t="s">
        <v>290</v>
      </c>
      <c r="K35" s="8" t="s">
        <v>25</v>
      </c>
      <c r="L35" s="17"/>
      <c r="M35" s="16" t="s">
        <v>291</v>
      </c>
      <c r="N35" s="16" t="s">
        <v>269</v>
      </c>
      <c r="O35" s="18">
        <v>46183.0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16" t="s">
        <v>292</v>
      </c>
      <c r="B36" s="16" t="s">
        <v>161</v>
      </c>
      <c r="C36" s="16" t="s">
        <v>17</v>
      </c>
      <c r="D36" s="16" t="s">
        <v>293</v>
      </c>
      <c r="E36" s="16" t="s">
        <v>19</v>
      </c>
      <c r="F36" s="16" t="s">
        <v>294</v>
      </c>
      <c r="G36" s="16" t="s">
        <v>280</v>
      </c>
      <c r="H36" s="16" t="s">
        <v>295</v>
      </c>
      <c r="I36" s="16" t="s">
        <v>296</v>
      </c>
      <c r="J36" s="16" t="s">
        <v>297</v>
      </c>
      <c r="K36" s="8" t="s">
        <v>25</v>
      </c>
      <c r="L36" s="17"/>
      <c r="M36" s="16" t="s">
        <v>298</v>
      </c>
      <c r="N36" s="16" t="s">
        <v>269</v>
      </c>
      <c r="O36" s="18">
        <v>46183.0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16" t="s">
        <v>299</v>
      </c>
      <c r="B37" s="16" t="s">
        <v>161</v>
      </c>
      <c r="C37" s="16" t="s">
        <v>17</v>
      </c>
      <c r="D37" s="16" t="s">
        <v>300</v>
      </c>
      <c r="E37" s="16" t="s">
        <v>19</v>
      </c>
      <c r="F37" s="16" t="s">
        <v>301</v>
      </c>
      <c r="G37" s="16" t="s">
        <v>302</v>
      </c>
      <c r="H37" s="16" t="s">
        <v>303</v>
      </c>
      <c r="I37" s="16" t="s">
        <v>304</v>
      </c>
      <c r="J37" s="16" t="s">
        <v>305</v>
      </c>
      <c r="K37" s="8" t="s">
        <v>25</v>
      </c>
      <c r="L37" s="17"/>
      <c r="M37" s="16" t="s">
        <v>306</v>
      </c>
      <c r="N37" s="16" t="s">
        <v>269</v>
      </c>
      <c r="O37" s="18">
        <v>46183.0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16" t="s">
        <v>307</v>
      </c>
      <c r="B38" s="16" t="s">
        <v>161</v>
      </c>
      <c r="C38" s="16" t="s">
        <v>17</v>
      </c>
      <c r="D38" s="16" t="s">
        <v>308</v>
      </c>
      <c r="E38" s="16" t="s">
        <v>19</v>
      </c>
      <c r="F38" s="16" t="s">
        <v>309</v>
      </c>
      <c r="G38" s="19" t="s">
        <v>55</v>
      </c>
      <c r="H38" s="16" t="s">
        <v>310</v>
      </c>
      <c r="I38" s="20" t="s">
        <v>311</v>
      </c>
      <c r="J38" s="16" t="s">
        <v>312</v>
      </c>
      <c r="K38" s="8" t="s">
        <v>25</v>
      </c>
      <c r="L38" s="17"/>
      <c r="M38" s="16" t="s">
        <v>313</v>
      </c>
      <c r="N38" s="16" t="s">
        <v>269</v>
      </c>
      <c r="O38" s="18">
        <v>46183.0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16" t="s">
        <v>314</v>
      </c>
      <c r="B39" s="16" t="s">
        <v>161</v>
      </c>
      <c r="C39" s="16" t="s">
        <v>17</v>
      </c>
      <c r="D39" s="16" t="s">
        <v>315</v>
      </c>
      <c r="E39" s="16" t="s">
        <v>62</v>
      </c>
      <c r="F39" s="16" t="s">
        <v>301</v>
      </c>
      <c r="G39" s="16" t="s">
        <v>316</v>
      </c>
      <c r="H39" s="16" t="s">
        <v>317</v>
      </c>
      <c r="I39" s="16" t="s">
        <v>318</v>
      </c>
      <c r="J39" s="16" t="s">
        <v>319</v>
      </c>
      <c r="K39" s="8" t="s">
        <v>25</v>
      </c>
      <c r="L39" s="17"/>
      <c r="M39" s="16" t="s">
        <v>320</v>
      </c>
      <c r="N39" s="16" t="s">
        <v>269</v>
      </c>
      <c r="O39" s="18">
        <v>46183.0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16" t="s">
        <v>321</v>
      </c>
      <c r="B40" s="16" t="s">
        <v>161</v>
      </c>
      <c r="C40" s="16" t="s">
        <v>17</v>
      </c>
      <c r="D40" s="16" t="s">
        <v>322</v>
      </c>
      <c r="E40" s="16" t="s">
        <v>19</v>
      </c>
      <c r="F40" s="16" t="s">
        <v>309</v>
      </c>
      <c r="G40" s="16" t="s">
        <v>323</v>
      </c>
      <c r="H40" s="16" t="s">
        <v>324</v>
      </c>
      <c r="I40" s="16" t="s">
        <v>325</v>
      </c>
      <c r="J40" s="16" t="s">
        <v>326</v>
      </c>
      <c r="K40" s="8" t="s">
        <v>25</v>
      </c>
      <c r="L40" s="17"/>
      <c r="M40" s="16" t="s">
        <v>327</v>
      </c>
      <c r="N40" s="16" t="s">
        <v>269</v>
      </c>
      <c r="O40" s="18">
        <v>46183.0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16" t="s">
        <v>328</v>
      </c>
      <c r="B41" s="16" t="s">
        <v>329</v>
      </c>
      <c r="C41" s="16" t="s">
        <v>17</v>
      </c>
      <c r="D41" s="16" t="s">
        <v>330</v>
      </c>
      <c r="E41" s="16" t="s">
        <v>19</v>
      </c>
      <c r="F41" s="16" t="s">
        <v>331</v>
      </c>
      <c r="G41" s="16" t="s">
        <v>332</v>
      </c>
      <c r="H41" s="16" t="s">
        <v>333</v>
      </c>
      <c r="I41" s="16" t="s">
        <v>334</v>
      </c>
      <c r="J41" s="16" t="s">
        <v>335</v>
      </c>
      <c r="K41" s="8" t="s">
        <v>25</v>
      </c>
      <c r="L41" s="17"/>
      <c r="M41" s="16" t="s">
        <v>336</v>
      </c>
      <c r="N41" s="16" t="s">
        <v>269</v>
      </c>
      <c r="O41" s="18">
        <v>46183.0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21" t="s">
        <v>337</v>
      </c>
      <c r="B42" s="21" t="s">
        <v>338</v>
      </c>
      <c r="C42" s="21" t="s">
        <v>17</v>
      </c>
      <c r="D42" s="21" t="s">
        <v>339</v>
      </c>
      <c r="E42" s="21" t="s">
        <v>19</v>
      </c>
      <c r="F42" s="21" t="s">
        <v>340</v>
      </c>
      <c r="G42" s="21" t="s">
        <v>341</v>
      </c>
      <c r="H42" s="21" t="s">
        <v>342</v>
      </c>
      <c r="I42" s="21" t="s">
        <v>343</v>
      </c>
      <c r="J42" s="21" t="s">
        <v>343</v>
      </c>
      <c r="K42" s="21" t="s">
        <v>25</v>
      </c>
      <c r="L42" s="22"/>
      <c r="M42" s="21" t="s">
        <v>344</v>
      </c>
      <c r="N42" s="21" t="s">
        <v>345</v>
      </c>
      <c r="O42" s="18">
        <v>46183.0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21" t="s">
        <v>346</v>
      </c>
      <c r="B43" s="21" t="s">
        <v>338</v>
      </c>
      <c r="C43" s="21" t="s">
        <v>17</v>
      </c>
      <c r="D43" s="21" t="s">
        <v>347</v>
      </c>
      <c r="E43" s="21" t="s">
        <v>19</v>
      </c>
      <c r="F43" s="21" t="s">
        <v>348</v>
      </c>
      <c r="G43" s="21" t="s">
        <v>349</v>
      </c>
      <c r="H43" s="21" t="s">
        <v>350</v>
      </c>
      <c r="I43" s="21" t="s">
        <v>351</v>
      </c>
      <c r="J43" s="21" t="s">
        <v>351</v>
      </c>
      <c r="K43" s="21" t="s">
        <v>25</v>
      </c>
      <c r="L43" s="22"/>
      <c r="M43" s="21" t="s">
        <v>352</v>
      </c>
      <c r="N43" s="21" t="s">
        <v>345</v>
      </c>
      <c r="O43" s="18">
        <v>46183.0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21" t="s">
        <v>353</v>
      </c>
      <c r="B44" s="21" t="s">
        <v>338</v>
      </c>
      <c r="C44" s="21" t="s">
        <v>17</v>
      </c>
      <c r="D44" s="21" t="s">
        <v>354</v>
      </c>
      <c r="E44" s="21" t="s">
        <v>62</v>
      </c>
      <c r="F44" s="21" t="s">
        <v>355</v>
      </c>
      <c r="G44" s="21" t="s">
        <v>356</v>
      </c>
      <c r="H44" s="21" t="s">
        <v>357</v>
      </c>
      <c r="I44" s="21" t="s">
        <v>358</v>
      </c>
      <c r="J44" s="21" t="s">
        <v>358</v>
      </c>
      <c r="K44" s="21" t="s">
        <v>25</v>
      </c>
      <c r="L44" s="22"/>
      <c r="M44" s="21" t="s">
        <v>359</v>
      </c>
      <c r="N44" s="21" t="s">
        <v>345</v>
      </c>
      <c r="O44" s="18">
        <v>46183.0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21" t="s">
        <v>360</v>
      </c>
      <c r="B45" s="21" t="s">
        <v>361</v>
      </c>
      <c r="C45" s="21" t="s">
        <v>72</v>
      </c>
      <c r="D45" s="21" t="s">
        <v>362</v>
      </c>
      <c r="E45" s="21" t="s">
        <v>19</v>
      </c>
      <c r="F45" s="21" t="s">
        <v>363</v>
      </c>
      <c r="G45" s="21" t="s">
        <v>364</v>
      </c>
      <c r="H45" s="21" t="s">
        <v>365</v>
      </c>
      <c r="I45" s="21" t="s">
        <v>366</v>
      </c>
      <c r="J45" s="21" t="s">
        <v>366</v>
      </c>
      <c r="K45" s="21" t="s">
        <v>25</v>
      </c>
      <c r="L45" s="22"/>
      <c r="M45" s="21" t="s">
        <v>367</v>
      </c>
      <c r="N45" s="21" t="s">
        <v>345</v>
      </c>
      <c r="O45" s="18">
        <v>46183.0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21" t="s">
        <v>368</v>
      </c>
      <c r="B46" s="21" t="s">
        <v>361</v>
      </c>
      <c r="C46" s="21" t="s">
        <v>72</v>
      </c>
      <c r="D46" s="21" t="s">
        <v>369</v>
      </c>
      <c r="E46" s="21" t="s">
        <v>19</v>
      </c>
      <c r="F46" s="21" t="s">
        <v>370</v>
      </c>
      <c r="G46" s="21" t="s">
        <v>371</v>
      </c>
      <c r="H46" s="21" t="s">
        <v>372</v>
      </c>
      <c r="I46" s="21" t="s">
        <v>373</v>
      </c>
      <c r="J46" s="21" t="s">
        <v>373</v>
      </c>
      <c r="K46" s="21" t="s">
        <v>25</v>
      </c>
      <c r="L46" s="22"/>
      <c r="M46" s="21" t="s">
        <v>374</v>
      </c>
      <c r="N46" s="21" t="s">
        <v>345</v>
      </c>
      <c r="O46" s="18">
        <v>46183.0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21" t="s">
        <v>375</v>
      </c>
      <c r="B47" s="21" t="s">
        <v>361</v>
      </c>
      <c r="C47" s="21" t="s">
        <v>17</v>
      </c>
      <c r="D47" s="21" t="s">
        <v>376</v>
      </c>
      <c r="E47" s="21" t="s">
        <v>62</v>
      </c>
      <c r="F47" s="21" t="s">
        <v>377</v>
      </c>
      <c r="G47" s="21" t="s">
        <v>378</v>
      </c>
      <c r="H47" s="21" t="s">
        <v>379</v>
      </c>
      <c r="I47" s="21" t="s">
        <v>380</v>
      </c>
      <c r="J47" s="21" t="s">
        <v>380</v>
      </c>
      <c r="K47" s="21" t="s">
        <v>25</v>
      </c>
      <c r="L47" s="22"/>
      <c r="M47" s="21" t="s">
        <v>381</v>
      </c>
      <c r="N47" s="21" t="s">
        <v>345</v>
      </c>
      <c r="O47" s="18">
        <v>46183.0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23" t="s">
        <v>382</v>
      </c>
      <c r="B48" s="23" t="s">
        <v>383</v>
      </c>
      <c r="C48" s="23" t="s">
        <v>72</v>
      </c>
      <c r="D48" s="23" t="s">
        <v>384</v>
      </c>
      <c r="E48" s="23" t="s">
        <v>19</v>
      </c>
      <c r="F48" s="23" t="s">
        <v>385</v>
      </c>
      <c r="G48" s="23" t="s">
        <v>386</v>
      </c>
      <c r="H48" s="23" t="s">
        <v>387</v>
      </c>
      <c r="I48" s="23" t="s">
        <v>388</v>
      </c>
      <c r="J48" s="23" t="s">
        <v>388</v>
      </c>
      <c r="K48" s="23" t="s">
        <v>25</v>
      </c>
      <c r="L48" s="24"/>
      <c r="M48" s="23" t="s">
        <v>389</v>
      </c>
      <c r="N48" s="23" t="s">
        <v>345</v>
      </c>
      <c r="O48" s="18">
        <v>46183.0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23" t="s">
        <v>390</v>
      </c>
      <c r="B49" s="23" t="s">
        <v>383</v>
      </c>
      <c r="C49" s="23" t="s">
        <v>72</v>
      </c>
      <c r="D49" s="23" t="s">
        <v>391</v>
      </c>
      <c r="E49" s="23" t="s">
        <v>62</v>
      </c>
      <c r="F49" s="23" t="s">
        <v>392</v>
      </c>
      <c r="G49" s="23" t="s">
        <v>386</v>
      </c>
      <c r="H49" s="23" t="s">
        <v>393</v>
      </c>
      <c r="I49" s="23" t="s">
        <v>394</v>
      </c>
      <c r="J49" s="23" t="s">
        <v>394</v>
      </c>
      <c r="K49" s="23" t="s">
        <v>25</v>
      </c>
      <c r="L49" s="24"/>
      <c r="M49" s="23" t="s">
        <v>389</v>
      </c>
      <c r="N49" s="23" t="s">
        <v>345</v>
      </c>
      <c r="O49" s="18">
        <v>46183.0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21" t="s">
        <v>395</v>
      </c>
      <c r="B50" s="21" t="s">
        <v>396</v>
      </c>
      <c r="C50" s="21" t="s">
        <v>72</v>
      </c>
      <c r="D50" s="21" t="s">
        <v>397</v>
      </c>
      <c r="E50" s="21" t="s">
        <v>19</v>
      </c>
      <c r="F50" s="21" t="s">
        <v>398</v>
      </c>
      <c r="G50" s="21" t="s">
        <v>399</v>
      </c>
      <c r="H50" s="21" t="s">
        <v>400</v>
      </c>
      <c r="I50" s="21" t="s">
        <v>401</v>
      </c>
      <c r="J50" s="21" t="s">
        <v>401</v>
      </c>
      <c r="K50" s="21" t="s">
        <v>25</v>
      </c>
      <c r="L50" s="22"/>
      <c r="M50" s="21" t="s">
        <v>402</v>
      </c>
      <c r="N50" s="21" t="s">
        <v>345</v>
      </c>
      <c r="O50" s="18">
        <v>46183.0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17"/>
      <c r="M51" s="17"/>
      <c r="N51" s="17"/>
      <c r="O51" s="1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5"/>
      <c r="L52" s="17"/>
      <c r="M52" s="17"/>
      <c r="N52" s="17"/>
      <c r="O52" s="1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5"/>
      <c r="L53" s="17"/>
      <c r="M53" s="17"/>
      <c r="N53" s="17"/>
      <c r="O53" s="1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5"/>
      <c r="L54" s="17"/>
      <c r="M54" s="17"/>
      <c r="N54" s="17"/>
      <c r="O54" s="1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5"/>
      <c r="L55" s="17"/>
      <c r="M55" s="17"/>
      <c r="N55" s="17"/>
      <c r="O55" s="1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5"/>
      <c r="L56" s="17"/>
      <c r="M56" s="17"/>
      <c r="N56" s="17"/>
      <c r="O56" s="1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5"/>
      <c r="L57" s="17"/>
      <c r="M57" s="17"/>
      <c r="N57" s="17"/>
      <c r="O57" s="1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5"/>
      <c r="L58" s="17"/>
      <c r="M58" s="17"/>
      <c r="N58" s="17"/>
      <c r="O58" s="1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5"/>
      <c r="L59" s="17"/>
      <c r="M59" s="17"/>
      <c r="N59" s="17"/>
      <c r="O59" s="1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5"/>
      <c r="L60" s="17"/>
      <c r="M60" s="17"/>
      <c r="N60" s="17"/>
      <c r="O60" s="1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5"/>
      <c r="L61" s="17"/>
      <c r="M61" s="17"/>
      <c r="N61" s="17"/>
      <c r="O61" s="1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5"/>
      <c r="L62" s="17"/>
      <c r="M62" s="17"/>
      <c r="N62" s="17"/>
      <c r="O62" s="1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5"/>
      <c r="L63" s="17"/>
      <c r="M63" s="17"/>
      <c r="N63" s="17"/>
      <c r="O63" s="1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5"/>
      <c r="L64" s="17"/>
      <c r="M64" s="17"/>
      <c r="N64" s="17"/>
      <c r="O64" s="1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5"/>
      <c r="L65" s="17"/>
      <c r="M65" s="17"/>
      <c r="N65" s="17"/>
      <c r="O65" s="1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5"/>
      <c r="L66" s="17"/>
      <c r="M66" s="17"/>
      <c r="N66" s="17"/>
      <c r="O66" s="1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5"/>
      <c r="L67" s="17"/>
      <c r="M67" s="17"/>
      <c r="N67" s="17"/>
      <c r="O67" s="1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5"/>
      <c r="L68" s="17"/>
      <c r="M68" s="17"/>
      <c r="N68" s="17"/>
      <c r="O68" s="1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5"/>
      <c r="L69" s="17"/>
      <c r="M69" s="17"/>
      <c r="N69" s="17"/>
      <c r="O69" s="1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5"/>
      <c r="L70" s="17"/>
      <c r="M70" s="17"/>
      <c r="N70" s="17"/>
      <c r="O70" s="1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5"/>
      <c r="L71" s="17"/>
      <c r="M71" s="17"/>
      <c r="N71" s="17"/>
      <c r="O71" s="1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5"/>
      <c r="L72" s="17"/>
      <c r="M72" s="17"/>
      <c r="N72" s="17"/>
      <c r="O72" s="1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5"/>
      <c r="L73" s="17"/>
      <c r="M73" s="17"/>
      <c r="N73" s="17"/>
      <c r="O73" s="1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5"/>
      <c r="L74" s="17"/>
      <c r="M74" s="17"/>
      <c r="N74" s="17"/>
      <c r="O74" s="1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5"/>
      <c r="L75" s="17"/>
      <c r="M75" s="17"/>
      <c r="N75" s="17"/>
      <c r="O75" s="1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5"/>
      <c r="L76" s="17"/>
      <c r="M76" s="17"/>
      <c r="N76" s="17"/>
      <c r="O76" s="1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5"/>
      <c r="L77" s="17"/>
      <c r="M77" s="17"/>
      <c r="N77" s="17"/>
      <c r="O77" s="1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5"/>
      <c r="L78" s="17"/>
      <c r="M78" s="17"/>
      <c r="N78" s="17"/>
      <c r="O78" s="1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5"/>
      <c r="L79" s="17"/>
      <c r="M79" s="17"/>
      <c r="N79" s="17"/>
      <c r="O79" s="1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5"/>
      <c r="L80" s="17"/>
      <c r="M80" s="17"/>
      <c r="N80" s="17"/>
      <c r="O80" s="1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5"/>
      <c r="L81" s="17"/>
      <c r="M81" s="17"/>
      <c r="N81" s="17"/>
      <c r="O81" s="1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5"/>
      <c r="L82" s="17"/>
      <c r="M82" s="17"/>
      <c r="N82" s="17"/>
      <c r="O82" s="1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5"/>
      <c r="L83" s="17"/>
      <c r="M83" s="17"/>
      <c r="N83" s="17"/>
      <c r="O83" s="1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5"/>
      <c r="L84" s="17"/>
      <c r="M84" s="17"/>
      <c r="N84" s="17"/>
      <c r="O84" s="1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5"/>
      <c r="L85" s="17"/>
      <c r="M85" s="17"/>
      <c r="N85" s="17"/>
      <c r="O85" s="1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5"/>
      <c r="L86" s="17"/>
      <c r="M86" s="17"/>
      <c r="N86" s="17"/>
      <c r="O86" s="1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5"/>
      <c r="L87" s="17"/>
      <c r="M87" s="17"/>
      <c r="N87" s="17"/>
      <c r="O87" s="1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5"/>
      <c r="L88" s="17"/>
      <c r="M88" s="17"/>
      <c r="N88" s="17"/>
      <c r="O88" s="1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5"/>
      <c r="L89" s="17"/>
      <c r="M89" s="17"/>
      <c r="N89" s="17"/>
      <c r="O89" s="1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5"/>
      <c r="L90" s="17"/>
      <c r="M90" s="17"/>
      <c r="N90" s="17"/>
      <c r="O90" s="1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5"/>
      <c r="L91" s="17"/>
      <c r="M91" s="17"/>
      <c r="N91" s="17"/>
      <c r="O91" s="1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5"/>
      <c r="L92" s="17"/>
      <c r="M92" s="17"/>
      <c r="N92" s="17"/>
      <c r="O92" s="1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5"/>
      <c r="L93" s="17"/>
      <c r="M93" s="17"/>
      <c r="N93" s="17"/>
      <c r="O93" s="1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5"/>
      <c r="L94" s="17"/>
      <c r="M94" s="17"/>
      <c r="N94" s="17"/>
      <c r="O94" s="1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5"/>
      <c r="L95" s="17"/>
      <c r="M95" s="17"/>
      <c r="N95" s="17"/>
      <c r="O95" s="1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5"/>
      <c r="L96" s="17"/>
      <c r="M96" s="17"/>
      <c r="N96" s="17"/>
      <c r="O96" s="1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5"/>
      <c r="L97" s="17"/>
      <c r="M97" s="17"/>
      <c r="N97" s="17"/>
      <c r="O97" s="1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5"/>
      <c r="L98" s="17"/>
      <c r="M98" s="17"/>
      <c r="N98" s="17"/>
      <c r="O98" s="1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5"/>
      <c r="L99" s="17"/>
      <c r="M99" s="17"/>
      <c r="N99" s="17"/>
      <c r="O99" s="1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5"/>
      <c r="L100" s="17"/>
      <c r="M100" s="17"/>
      <c r="N100" s="17"/>
      <c r="O100" s="1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5"/>
      <c r="L101" s="17"/>
      <c r="M101" s="17"/>
      <c r="N101" s="17"/>
      <c r="O101" s="1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5"/>
      <c r="L102" s="17"/>
      <c r="M102" s="17"/>
      <c r="N102" s="17"/>
      <c r="O102" s="1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5"/>
      <c r="L103" s="17"/>
      <c r="M103" s="17"/>
      <c r="N103" s="17"/>
      <c r="O103" s="1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5"/>
      <c r="L104" s="17"/>
      <c r="M104" s="17"/>
      <c r="N104" s="17"/>
      <c r="O104" s="1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5"/>
      <c r="L105" s="17"/>
      <c r="M105" s="17"/>
      <c r="N105" s="17"/>
      <c r="O105" s="1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5"/>
      <c r="L106" s="17"/>
      <c r="M106" s="17"/>
      <c r="N106" s="17"/>
      <c r="O106" s="1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5"/>
      <c r="L107" s="17"/>
      <c r="M107" s="17"/>
      <c r="N107" s="17"/>
      <c r="O107" s="1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5"/>
      <c r="L108" s="17"/>
      <c r="M108" s="17"/>
      <c r="N108" s="17"/>
      <c r="O108" s="1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5"/>
      <c r="L109" s="17"/>
      <c r="M109" s="17"/>
      <c r="N109" s="17"/>
      <c r="O109" s="1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5"/>
      <c r="L110" s="17"/>
      <c r="M110" s="17"/>
      <c r="N110" s="17"/>
      <c r="O110" s="1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5"/>
      <c r="L111" s="17"/>
      <c r="M111" s="17"/>
      <c r="N111" s="17"/>
      <c r="O111" s="1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5"/>
      <c r="L112" s="17"/>
      <c r="M112" s="17"/>
      <c r="N112" s="17"/>
      <c r="O112" s="1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5"/>
      <c r="L113" s="17"/>
      <c r="M113" s="17"/>
      <c r="N113" s="17"/>
      <c r="O113" s="1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5"/>
      <c r="L114" s="17"/>
      <c r="M114" s="17"/>
      <c r="N114" s="17"/>
      <c r="O114" s="1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5"/>
      <c r="L115" s="17"/>
      <c r="M115" s="17"/>
      <c r="N115" s="17"/>
      <c r="O115" s="1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5"/>
      <c r="L116" s="17"/>
      <c r="M116" s="17"/>
      <c r="N116" s="17"/>
      <c r="O116" s="1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5"/>
      <c r="L117" s="17"/>
      <c r="M117" s="17"/>
      <c r="N117" s="17"/>
      <c r="O117" s="1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5"/>
      <c r="L118" s="17"/>
      <c r="M118" s="17"/>
      <c r="N118" s="17"/>
      <c r="O118" s="1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5"/>
      <c r="L119" s="17"/>
      <c r="M119" s="17"/>
      <c r="N119" s="17"/>
      <c r="O119" s="1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5"/>
      <c r="L120" s="17"/>
      <c r="M120" s="17"/>
      <c r="N120" s="17"/>
      <c r="O120" s="1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5"/>
      <c r="L121" s="17"/>
      <c r="M121" s="17"/>
      <c r="N121" s="17"/>
      <c r="O121" s="1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5"/>
      <c r="L122" s="17"/>
      <c r="M122" s="17"/>
      <c r="N122" s="17"/>
      <c r="O122" s="1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5"/>
      <c r="L123" s="17"/>
      <c r="M123" s="17"/>
      <c r="N123" s="17"/>
      <c r="O123" s="1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5"/>
      <c r="L124" s="17"/>
      <c r="M124" s="17"/>
      <c r="N124" s="17"/>
      <c r="O124" s="1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5"/>
      <c r="L125" s="17"/>
      <c r="M125" s="17"/>
      <c r="N125" s="17"/>
      <c r="O125" s="1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5"/>
      <c r="L126" s="17"/>
      <c r="M126" s="17"/>
      <c r="N126" s="17"/>
      <c r="O126" s="1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5"/>
      <c r="L127" s="17"/>
      <c r="M127" s="17"/>
      <c r="N127" s="17"/>
      <c r="O127" s="1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5"/>
      <c r="L128" s="17"/>
      <c r="M128" s="17"/>
      <c r="N128" s="17"/>
      <c r="O128" s="1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5"/>
      <c r="L129" s="17"/>
      <c r="M129" s="17"/>
      <c r="N129" s="17"/>
      <c r="O129" s="1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5"/>
      <c r="L130" s="17"/>
      <c r="M130" s="17"/>
      <c r="N130" s="17"/>
      <c r="O130" s="1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5"/>
      <c r="L131" s="17"/>
      <c r="M131" s="17"/>
      <c r="N131" s="17"/>
      <c r="O131" s="1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5"/>
      <c r="L132" s="17"/>
      <c r="M132" s="17"/>
      <c r="N132" s="17"/>
      <c r="O132" s="1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5"/>
      <c r="L133" s="17"/>
      <c r="M133" s="17"/>
      <c r="N133" s="17"/>
      <c r="O133" s="1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5"/>
      <c r="L134" s="17"/>
      <c r="M134" s="17"/>
      <c r="N134" s="17"/>
      <c r="O134" s="1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5"/>
      <c r="L135" s="17"/>
      <c r="M135" s="17"/>
      <c r="N135" s="17"/>
      <c r="O135" s="1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5"/>
      <c r="L136" s="17"/>
      <c r="M136" s="17"/>
      <c r="N136" s="17"/>
      <c r="O136" s="1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5"/>
      <c r="L137" s="17"/>
      <c r="M137" s="17"/>
      <c r="N137" s="17"/>
      <c r="O137" s="1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5"/>
      <c r="L138" s="17"/>
      <c r="M138" s="17"/>
      <c r="N138" s="17"/>
      <c r="O138" s="1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5"/>
      <c r="L139" s="17"/>
      <c r="M139" s="17"/>
      <c r="N139" s="17"/>
      <c r="O139" s="1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5"/>
      <c r="L140" s="17"/>
      <c r="M140" s="17"/>
      <c r="N140" s="17"/>
      <c r="O140" s="1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5"/>
      <c r="L141" s="17"/>
      <c r="M141" s="17"/>
      <c r="N141" s="17"/>
      <c r="O141" s="1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5"/>
      <c r="L142" s="17"/>
      <c r="M142" s="17"/>
      <c r="N142" s="17"/>
      <c r="O142" s="1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5"/>
      <c r="L143" s="17"/>
      <c r="M143" s="17"/>
      <c r="N143" s="17"/>
      <c r="O143" s="1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5"/>
      <c r="L144" s="17"/>
      <c r="M144" s="17"/>
      <c r="N144" s="17"/>
      <c r="O144" s="1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5"/>
      <c r="L145" s="17"/>
      <c r="M145" s="17"/>
      <c r="N145" s="17"/>
      <c r="O145" s="1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5"/>
      <c r="L146" s="17"/>
      <c r="M146" s="17"/>
      <c r="N146" s="17"/>
      <c r="O146" s="1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5"/>
      <c r="L147" s="17"/>
      <c r="M147" s="17"/>
      <c r="N147" s="17"/>
      <c r="O147" s="1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5"/>
      <c r="L148" s="17"/>
      <c r="M148" s="17"/>
      <c r="N148" s="17"/>
      <c r="O148" s="1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5"/>
      <c r="L149" s="17"/>
      <c r="M149" s="17"/>
      <c r="N149" s="17"/>
      <c r="O149" s="1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5"/>
      <c r="L150" s="17"/>
      <c r="M150" s="17"/>
      <c r="N150" s="17"/>
      <c r="O150" s="1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5"/>
      <c r="L151" s="17"/>
      <c r="M151" s="17"/>
      <c r="N151" s="17"/>
      <c r="O151" s="1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5"/>
      <c r="L152" s="17"/>
      <c r="M152" s="17"/>
      <c r="N152" s="17"/>
      <c r="O152" s="1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5"/>
      <c r="L153" s="17"/>
      <c r="M153" s="17"/>
      <c r="N153" s="17"/>
      <c r="O153" s="1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5"/>
      <c r="L154" s="17"/>
      <c r="M154" s="17"/>
      <c r="N154" s="17"/>
      <c r="O154" s="1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5"/>
      <c r="L155" s="17"/>
      <c r="M155" s="17"/>
      <c r="N155" s="17"/>
      <c r="O155" s="1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5"/>
      <c r="L156" s="17"/>
      <c r="M156" s="17"/>
      <c r="N156" s="17"/>
      <c r="O156" s="1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5"/>
      <c r="L157" s="17"/>
      <c r="M157" s="17"/>
      <c r="N157" s="17"/>
      <c r="O157" s="1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5"/>
      <c r="L158" s="17"/>
      <c r="M158" s="17"/>
      <c r="N158" s="17"/>
      <c r="O158" s="1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5"/>
      <c r="L159" s="17"/>
      <c r="M159" s="17"/>
      <c r="N159" s="17"/>
      <c r="O159" s="1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5"/>
      <c r="L160" s="17"/>
      <c r="M160" s="17"/>
      <c r="N160" s="17"/>
      <c r="O160" s="1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5"/>
      <c r="L161" s="17"/>
      <c r="M161" s="17"/>
      <c r="N161" s="17"/>
      <c r="O161" s="1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5"/>
      <c r="L162" s="17"/>
      <c r="M162" s="17"/>
      <c r="N162" s="17"/>
      <c r="O162" s="1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5"/>
      <c r="L163" s="17"/>
      <c r="M163" s="17"/>
      <c r="N163" s="17"/>
      <c r="O163" s="1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5"/>
      <c r="L164" s="17"/>
      <c r="M164" s="17"/>
      <c r="N164" s="17"/>
      <c r="O164" s="1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5"/>
      <c r="L165" s="17"/>
      <c r="M165" s="17"/>
      <c r="N165" s="17"/>
      <c r="O165" s="1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5"/>
      <c r="L166" s="17"/>
      <c r="M166" s="17"/>
      <c r="N166" s="17"/>
      <c r="O166" s="1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5"/>
      <c r="L167" s="17"/>
      <c r="M167" s="17"/>
      <c r="N167" s="17"/>
      <c r="O167" s="1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5"/>
      <c r="L168" s="17"/>
      <c r="M168" s="17"/>
      <c r="N168" s="17"/>
      <c r="O168" s="1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5"/>
      <c r="L169" s="17"/>
      <c r="M169" s="17"/>
      <c r="N169" s="17"/>
      <c r="O169" s="1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5"/>
      <c r="L170" s="17"/>
      <c r="M170" s="17"/>
      <c r="N170" s="17"/>
      <c r="O170" s="1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5"/>
      <c r="L171" s="17"/>
      <c r="M171" s="17"/>
      <c r="N171" s="17"/>
      <c r="O171" s="1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5"/>
      <c r="L172" s="17"/>
      <c r="M172" s="17"/>
      <c r="N172" s="17"/>
      <c r="O172" s="1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5"/>
      <c r="L173" s="17"/>
      <c r="M173" s="17"/>
      <c r="N173" s="17"/>
      <c r="O173" s="1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5"/>
      <c r="L174" s="17"/>
      <c r="M174" s="17"/>
      <c r="N174" s="17"/>
      <c r="O174" s="1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5"/>
      <c r="L175" s="17"/>
      <c r="M175" s="17"/>
      <c r="N175" s="17"/>
      <c r="O175" s="1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5"/>
      <c r="L176" s="17"/>
      <c r="M176" s="17"/>
      <c r="N176" s="17"/>
      <c r="O176" s="1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5"/>
      <c r="L177" s="17"/>
      <c r="M177" s="17"/>
      <c r="N177" s="17"/>
      <c r="O177" s="1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5"/>
      <c r="L178" s="17"/>
      <c r="M178" s="17"/>
      <c r="N178" s="17"/>
      <c r="O178" s="1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5"/>
      <c r="L179" s="17"/>
      <c r="M179" s="17"/>
      <c r="N179" s="17"/>
      <c r="O179" s="1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5"/>
      <c r="L180" s="17"/>
      <c r="M180" s="17"/>
      <c r="N180" s="17"/>
      <c r="O180" s="1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5"/>
      <c r="L181" s="17"/>
      <c r="M181" s="17"/>
      <c r="N181" s="17"/>
      <c r="O181" s="1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5"/>
      <c r="L182" s="17"/>
      <c r="M182" s="17"/>
      <c r="N182" s="17"/>
      <c r="O182" s="1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5"/>
      <c r="L183" s="17"/>
      <c r="M183" s="17"/>
      <c r="N183" s="17"/>
      <c r="O183" s="1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5"/>
      <c r="L184" s="17"/>
      <c r="M184" s="17"/>
      <c r="N184" s="17"/>
      <c r="O184" s="1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5"/>
      <c r="L185" s="17"/>
      <c r="M185" s="17"/>
      <c r="N185" s="17"/>
      <c r="O185" s="1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5"/>
      <c r="L186" s="17"/>
      <c r="M186" s="17"/>
      <c r="N186" s="17"/>
      <c r="O186" s="1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5"/>
      <c r="L187" s="17"/>
      <c r="M187" s="17"/>
      <c r="N187" s="17"/>
      <c r="O187" s="1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5"/>
      <c r="L188" s="17"/>
      <c r="M188" s="17"/>
      <c r="N188" s="17"/>
      <c r="O188" s="1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5"/>
      <c r="L189" s="17"/>
      <c r="M189" s="17"/>
      <c r="N189" s="17"/>
      <c r="O189" s="1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5"/>
      <c r="L190" s="17"/>
      <c r="M190" s="17"/>
      <c r="N190" s="17"/>
      <c r="O190" s="1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5"/>
      <c r="L191" s="17"/>
      <c r="M191" s="17"/>
      <c r="N191" s="17"/>
      <c r="O191" s="1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5"/>
      <c r="L192" s="17"/>
      <c r="M192" s="17"/>
      <c r="N192" s="17"/>
      <c r="O192" s="1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5"/>
      <c r="L193" s="17"/>
      <c r="M193" s="17"/>
      <c r="N193" s="17"/>
      <c r="O193" s="1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5"/>
      <c r="L194" s="17"/>
      <c r="M194" s="17"/>
      <c r="N194" s="17"/>
      <c r="O194" s="1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5"/>
      <c r="L195" s="17"/>
      <c r="M195" s="17"/>
      <c r="N195" s="17"/>
      <c r="O195" s="1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5"/>
      <c r="L196" s="17"/>
      <c r="M196" s="17"/>
      <c r="N196" s="17"/>
      <c r="O196" s="1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5"/>
      <c r="L197" s="17"/>
      <c r="M197" s="17"/>
      <c r="N197" s="17"/>
      <c r="O197" s="1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5"/>
      <c r="L198" s="17"/>
      <c r="M198" s="17"/>
      <c r="N198" s="17"/>
      <c r="O198" s="1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5"/>
      <c r="L199" s="17"/>
      <c r="M199" s="17"/>
      <c r="N199" s="17"/>
      <c r="O199" s="1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5"/>
      <c r="L200" s="17"/>
      <c r="M200" s="17"/>
      <c r="N200" s="17"/>
      <c r="O200" s="1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5"/>
      <c r="L201" s="17"/>
      <c r="M201" s="17"/>
      <c r="N201" s="17"/>
      <c r="O201" s="1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5"/>
      <c r="L202" s="17"/>
      <c r="M202" s="17"/>
      <c r="N202" s="17"/>
      <c r="O202" s="1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5"/>
      <c r="L203" s="17"/>
      <c r="M203" s="17"/>
      <c r="N203" s="17"/>
      <c r="O203" s="1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5"/>
      <c r="L204" s="17"/>
      <c r="M204" s="17"/>
      <c r="N204" s="17"/>
      <c r="O204" s="1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5"/>
      <c r="L205" s="17"/>
      <c r="M205" s="17"/>
      <c r="N205" s="17"/>
      <c r="O205" s="1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5"/>
      <c r="L206" s="17"/>
      <c r="M206" s="17"/>
      <c r="N206" s="17"/>
      <c r="O206" s="1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5"/>
      <c r="L207" s="17"/>
      <c r="M207" s="17"/>
      <c r="N207" s="17"/>
      <c r="O207" s="1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5"/>
      <c r="L208" s="17"/>
      <c r="M208" s="17"/>
      <c r="N208" s="17"/>
      <c r="O208" s="1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5"/>
      <c r="L209" s="17"/>
      <c r="M209" s="17"/>
      <c r="N209" s="17"/>
      <c r="O209" s="1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5"/>
      <c r="L210" s="17"/>
      <c r="M210" s="17"/>
      <c r="N210" s="17"/>
      <c r="O210" s="1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5"/>
      <c r="L211" s="17"/>
      <c r="M211" s="17"/>
      <c r="N211" s="17"/>
      <c r="O211" s="1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5"/>
      <c r="L212" s="17"/>
      <c r="M212" s="17"/>
      <c r="N212" s="17"/>
      <c r="O212" s="1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5"/>
      <c r="L213" s="17"/>
      <c r="M213" s="17"/>
      <c r="N213" s="17"/>
      <c r="O213" s="1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5"/>
      <c r="L214" s="17"/>
      <c r="M214" s="17"/>
      <c r="N214" s="17"/>
      <c r="O214" s="1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5"/>
      <c r="L215" s="17"/>
      <c r="M215" s="17"/>
      <c r="N215" s="17"/>
      <c r="O215" s="1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5"/>
      <c r="L216" s="17"/>
      <c r="M216" s="17"/>
      <c r="N216" s="17"/>
      <c r="O216" s="1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5"/>
      <c r="L217" s="17"/>
      <c r="M217" s="17"/>
      <c r="N217" s="17"/>
      <c r="O217" s="1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5"/>
      <c r="L218" s="17"/>
      <c r="M218" s="17"/>
      <c r="N218" s="17"/>
      <c r="O218" s="1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5"/>
      <c r="L219" s="17"/>
      <c r="M219" s="17"/>
      <c r="N219" s="17"/>
      <c r="O219" s="1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26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26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26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26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2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26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26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26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26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26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26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26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26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26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26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26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26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26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26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26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26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26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26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26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26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26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26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26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26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26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26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26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26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26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26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26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26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26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26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26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26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26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26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26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26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26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26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26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26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26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26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26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26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6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26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26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26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26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26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26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26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26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26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26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26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6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26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26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26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26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26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26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26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26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26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6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26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26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26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26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26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26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26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26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26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26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26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26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26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26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26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26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26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26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26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26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26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26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26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26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26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26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26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26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26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26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26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26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26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26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26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26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26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26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26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26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26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26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26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26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26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26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26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26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26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26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26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26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26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26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26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26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26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6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26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26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26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26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6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26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26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26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26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26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26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26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26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26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26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26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26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26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26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26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26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26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26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26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26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26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26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26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26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26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26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6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26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26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26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6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26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26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26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26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26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26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26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26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26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26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26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26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26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26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26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26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26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26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26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26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26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26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26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26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26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26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26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26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26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26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26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6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26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26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26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26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6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6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6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6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6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6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6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26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26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26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26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26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26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26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26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26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6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26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26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26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26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26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26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26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26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26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26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26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26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26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26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6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26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26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26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26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26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26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26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26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26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26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26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26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26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26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26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26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26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26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26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26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26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26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6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26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26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26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26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26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26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26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26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26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26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26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26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26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26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26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26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26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26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26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26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26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26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26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26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26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26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26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26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26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26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26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26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26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26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26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26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26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6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26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26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26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26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26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26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26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26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26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26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26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26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26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26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26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26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26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26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26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26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26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26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26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26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26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26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26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26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26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26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26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26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26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26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26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26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26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26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26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26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26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26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26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6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26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26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26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6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26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26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26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26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26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26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6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26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6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26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26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26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26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26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26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26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26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26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26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26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26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26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26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26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26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26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6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26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26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26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26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26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26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6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26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26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26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26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6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6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26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26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26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26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26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26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26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26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26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26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6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26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6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26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6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26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26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26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26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6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26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6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26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26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26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26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26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26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26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26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26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26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26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26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26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26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26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26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26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26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6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26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26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26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26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26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6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26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26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26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26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26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26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26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26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26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26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26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26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26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26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26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6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26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26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26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26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26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26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26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26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26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26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26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26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26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26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26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26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26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26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26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26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26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26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26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26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26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26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26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26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26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26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26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26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26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26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26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26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26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26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26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26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26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26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26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26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26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26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6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26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26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26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26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26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26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26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26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26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26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26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6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26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26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26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6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26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26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26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26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26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26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26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26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26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26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26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26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26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26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26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26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26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26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26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26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26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26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26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26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26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6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26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26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26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26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26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26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26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26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26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26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26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26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26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26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26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26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26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26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26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26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26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26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26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26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26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26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26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6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26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26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26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26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26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26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26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26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6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26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26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26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26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26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26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26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26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26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26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26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26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26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26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26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26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26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26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26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26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26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26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26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26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26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26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26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26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26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26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26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26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26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26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26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26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26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26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26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26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26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26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26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26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26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26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26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26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6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26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26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6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26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26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26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26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26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26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26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6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26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26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26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26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26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26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26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6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26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26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26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26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26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26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26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26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26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26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26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26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26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26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26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26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26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26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26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26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26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26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26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26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26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26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26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26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26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26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26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26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26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26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26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26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26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26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26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26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26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26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26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26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26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26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26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26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6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26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26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26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26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26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26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26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26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26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26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26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26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26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26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26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26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26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26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26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26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26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26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26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26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26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26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26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26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26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26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26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26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26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26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26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26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26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26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26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26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26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26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26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26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26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26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26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26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26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26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26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26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26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26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26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26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26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26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26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26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26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26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26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26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26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26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26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26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26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26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26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26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26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26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26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26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26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26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26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26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26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26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26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26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26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26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26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4.88"/>
    <col customWidth="1" min="3" max="3" width="21.38"/>
    <col customWidth="1" min="4" max="4" width="47.38"/>
    <col customWidth="1" min="5" max="5" width="7.5"/>
    <col customWidth="1" min="6" max="6" width="7.38"/>
    <col customWidth="1" min="7" max="7" width="46.5"/>
    <col customWidth="1" min="8" max="8" width="58.13"/>
    <col customWidth="1" min="9" max="9" width="48.5"/>
    <col customWidth="1" min="10" max="10" width="70.88"/>
    <col customWidth="1" min="11" max="11" width="40.25"/>
    <col customWidth="1" min="12" max="12" width="17.63"/>
    <col customWidth="1" min="13" max="13" width="60.0"/>
    <col customWidth="1" min="14" max="26" width="12.63"/>
  </cols>
  <sheetData>
    <row r="1">
      <c r="A1" s="27" t="s">
        <v>11</v>
      </c>
      <c r="B1" s="27" t="s">
        <v>403</v>
      </c>
      <c r="C1" s="27" t="s">
        <v>1</v>
      </c>
      <c r="D1" s="27" t="s">
        <v>404</v>
      </c>
      <c r="E1" s="27" t="s">
        <v>405</v>
      </c>
      <c r="F1" s="27" t="s">
        <v>4</v>
      </c>
      <c r="G1" s="27" t="s">
        <v>406</v>
      </c>
      <c r="H1" s="27" t="s">
        <v>407</v>
      </c>
      <c r="I1" s="27" t="s">
        <v>8</v>
      </c>
      <c r="J1" s="27" t="s">
        <v>9</v>
      </c>
      <c r="K1" s="27" t="s">
        <v>12</v>
      </c>
      <c r="L1" s="27" t="s">
        <v>10</v>
      </c>
      <c r="M1" s="27" t="s">
        <v>408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69</v>
      </c>
      <c r="B2" s="28" t="s">
        <v>409</v>
      </c>
      <c r="C2" s="28" t="s">
        <v>45</v>
      </c>
      <c r="D2" s="28" t="s">
        <v>410</v>
      </c>
      <c r="E2" s="27" t="s">
        <v>19</v>
      </c>
      <c r="F2" s="27" t="s">
        <v>19</v>
      </c>
      <c r="G2" s="28" t="s">
        <v>411</v>
      </c>
      <c r="H2" s="28" t="s">
        <v>412</v>
      </c>
      <c r="I2" s="28" t="s">
        <v>413</v>
      </c>
      <c r="J2" s="28" t="s">
        <v>414</v>
      </c>
      <c r="K2" s="28" t="s">
        <v>70</v>
      </c>
      <c r="L2" s="27" t="s">
        <v>415</v>
      </c>
      <c r="M2" s="28" t="s">
        <v>416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 t="s">
        <v>417</v>
      </c>
      <c r="B3" s="28" t="s">
        <v>126</v>
      </c>
      <c r="C3" s="28" t="s">
        <v>418</v>
      </c>
      <c r="D3" s="28" t="s">
        <v>419</v>
      </c>
      <c r="E3" s="27" t="s">
        <v>19</v>
      </c>
      <c r="F3" s="27" t="s">
        <v>19</v>
      </c>
      <c r="G3" s="28" t="s">
        <v>420</v>
      </c>
      <c r="H3" s="28" t="s">
        <v>421</v>
      </c>
      <c r="I3" s="28" t="s">
        <v>422</v>
      </c>
      <c r="J3" s="28" t="s">
        <v>423</v>
      </c>
      <c r="K3" s="28" t="s">
        <v>424</v>
      </c>
      <c r="L3" s="27" t="s">
        <v>415</v>
      </c>
      <c r="M3" s="28" t="s">
        <v>425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 t="s">
        <v>426</v>
      </c>
      <c r="B4" s="28" t="s">
        <v>126</v>
      </c>
      <c r="C4" s="28" t="s">
        <v>427</v>
      </c>
      <c r="D4" s="28" t="s">
        <v>428</v>
      </c>
      <c r="E4" s="27" t="s">
        <v>62</v>
      </c>
      <c r="F4" s="27" t="s">
        <v>62</v>
      </c>
      <c r="G4" s="28" t="s">
        <v>420</v>
      </c>
      <c r="H4" s="28" t="s">
        <v>429</v>
      </c>
      <c r="I4" s="28" t="s">
        <v>430</v>
      </c>
      <c r="J4" s="28" t="s">
        <v>431</v>
      </c>
      <c r="K4" s="28" t="s">
        <v>432</v>
      </c>
      <c r="L4" s="27" t="s">
        <v>433</v>
      </c>
      <c r="M4" s="28" t="s">
        <v>434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 t="s">
        <v>435</v>
      </c>
      <c r="B5" s="28" t="s">
        <v>126</v>
      </c>
      <c r="C5" s="28" t="s">
        <v>436</v>
      </c>
      <c r="D5" s="28" t="s">
        <v>437</v>
      </c>
      <c r="E5" s="27" t="s">
        <v>62</v>
      </c>
      <c r="F5" s="27" t="s">
        <v>62</v>
      </c>
      <c r="G5" s="28" t="s">
        <v>420</v>
      </c>
      <c r="H5" s="28" t="s">
        <v>438</v>
      </c>
      <c r="I5" s="28" t="s">
        <v>439</v>
      </c>
      <c r="J5" s="28" t="s">
        <v>440</v>
      </c>
      <c r="K5" s="28" t="s">
        <v>441</v>
      </c>
      <c r="L5" s="27" t="s">
        <v>415</v>
      </c>
      <c r="M5" s="28" t="s">
        <v>442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28"/>
      <c r="C6" s="28"/>
      <c r="D6" s="28"/>
      <c r="E6" s="27"/>
      <c r="F6" s="27"/>
      <c r="G6" s="28"/>
      <c r="H6" s="28"/>
      <c r="I6" s="28"/>
      <c r="J6" s="28"/>
      <c r="K6" s="28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8"/>
      <c r="B7" s="28"/>
      <c r="C7" s="28"/>
      <c r="D7" s="28"/>
      <c r="E7" s="27"/>
      <c r="F7" s="27"/>
      <c r="G7" s="28"/>
      <c r="H7" s="28"/>
      <c r="I7" s="28"/>
      <c r="J7" s="28"/>
      <c r="K7" s="28"/>
      <c r="L7" s="27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28"/>
      <c r="B8" s="28"/>
      <c r="C8" s="28"/>
      <c r="D8" s="28"/>
      <c r="E8" s="27"/>
      <c r="F8" s="27"/>
      <c r="G8" s="28"/>
      <c r="H8" s="28"/>
      <c r="I8" s="28"/>
      <c r="J8" s="28"/>
      <c r="K8" s="28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28"/>
      <c r="C9" s="28"/>
      <c r="D9" s="28"/>
      <c r="E9" s="27"/>
      <c r="F9" s="27"/>
      <c r="G9" s="28"/>
      <c r="H9" s="28"/>
      <c r="I9" s="28"/>
      <c r="J9" s="28"/>
      <c r="K9" s="28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28"/>
      <c r="C10" s="28"/>
      <c r="D10" s="28"/>
      <c r="E10" s="27"/>
      <c r="F10" s="27"/>
      <c r="G10" s="28"/>
      <c r="H10" s="28"/>
      <c r="I10" s="28"/>
      <c r="J10" s="28"/>
      <c r="K10" s="28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28"/>
      <c r="C11" s="28"/>
      <c r="D11" s="28"/>
      <c r="E11" s="27"/>
      <c r="F11" s="27"/>
      <c r="G11" s="28"/>
      <c r="H11" s="28"/>
      <c r="I11" s="28"/>
      <c r="J11" s="28"/>
      <c r="K11" s="28"/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28"/>
      <c r="C12" s="28"/>
      <c r="D12" s="28"/>
      <c r="E12" s="27"/>
      <c r="F12" s="27"/>
      <c r="G12" s="28"/>
      <c r="H12" s="28"/>
      <c r="I12" s="28"/>
      <c r="J12" s="28"/>
      <c r="K12" s="28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28"/>
      <c r="C13" s="28"/>
      <c r="D13" s="28"/>
      <c r="E13" s="27"/>
      <c r="F13" s="27"/>
      <c r="G13" s="28"/>
      <c r="H13" s="28"/>
      <c r="I13" s="28"/>
      <c r="J13" s="28"/>
      <c r="K13" s="28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28"/>
      <c r="C14" s="28"/>
      <c r="D14" s="28"/>
      <c r="E14" s="27"/>
      <c r="F14" s="27"/>
      <c r="G14" s="28"/>
      <c r="H14" s="28"/>
      <c r="I14" s="28"/>
      <c r="J14" s="28"/>
      <c r="K14" s="28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28"/>
      <c r="C15" s="28"/>
      <c r="D15" s="28"/>
      <c r="E15" s="27"/>
      <c r="F15" s="27"/>
      <c r="G15" s="28"/>
      <c r="H15" s="28"/>
      <c r="I15" s="28"/>
      <c r="J15" s="28"/>
      <c r="K15" s="28"/>
      <c r="L15" s="27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7"/>
      <c r="F16" s="27"/>
      <c r="G16" s="28"/>
      <c r="H16" s="28"/>
      <c r="I16" s="28"/>
      <c r="J16" s="28"/>
      <c r="K16" s="28"/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7"/>
      <c r="F17" s="27"/>
      <c r="G17" s="28"/>
      <c r="H17" s="28"/>
      <c r="I17" s="28"/>
      <c r="J17" s="28"/>
      <c r="K17" s="28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7"/>
      <c r="F18" s="27"/>
      <c r="G18" s="28"/>
      <c r="H18" s="28"/>
      <c r="I18" s="28"/>
      <c r="J18" s="28"/>
      <c r="K18" s="28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7"/>
      <c r="F19" s="27"/>
      <c r="G19" s="28"/>
      <c r="H19" s="28"/>
      <c r="I19" s="28"/>
      <c r="J19" s="28"/>
      <c r="K19" s="28"/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7"/>
      <c r="F20" s="27"/>
      <c r="G20" s="28"/>
      <c r="H20" s="28"/>
      <c r="I20" s="28"/>
      <c r="J20" s="28"/>
      <c r="K20" s="28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7"/>
      <c r="F21" s="27"/>
      <c r="G21" s="28"/>
      <c r="H21" s="28"/>
      <c r="I21" s="28"/>
      <c r="J21" s="28"/>
      <c r="K21" s="28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7"/>
      <c r="F22" s="27"/>
      <c r="G22" s="28"/>
      <c r="H22" s="28"/>
      <c r="I22" s="28"/>
      <c r="J22" s="28"/>
      <c r="K22" s="28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7"/>
      <c r="F23" s="27"/>
      <c r="G23" s="28"/>
      <c r="H23" s="28"/>
      <c r="I23" s="28"/>
      <c r="J23" s="28"/>
      <c r="K23" s="28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7"/>
      <c r="F24" s="27"/>
      <c r="G24" s="28"/>
      <c r="H24" s="28"/>
      <c r="I24" s="28"/>
      <c r="J24" s="28"/>
      <c r="K24" s="28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7"/>
      <c r="F25" s="27"/>
      <c r="G25" s="28"/>
      <c r="H25" s="28"/>
      <c r="I25" s="28"/>
      <c r="J25" s="28"/>
      <c r="K25" s="28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7"/>
      <c r="F26" s="27"/>
      <c r="G26" s="28"/>
      <c r="H26" s="28"/>
      <c r="I26" s="28"/>
      <c r="J26" s="28"/>
      <c r="K26" s="28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7"/>
      <c r="F27" s="27"/>
      <c r="G27" s="28"/>
      <c r="H27" s="28"/>
      <c r="I27" s="28"/>
      <c r="J27" s="28"/>
      <c r="K27" s="28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7"/>
      <c r="F28" s="27"/>
      <c r="G28" s="28"/>
      <c r="H28" s="28"/>
      <c r="I28" s="28"/>
      <c r="J28" s="28"/>
      <c r="K28" s="28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7"/>
      <c r="F29" s="27"/>
      <c r="G29" s="28"/>
      <c r="H29" s="28"/>
      <c r="I29" s="28"/>
      <c r="J29" s="28"/>
      <c r="K29" s="28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7"/>
      <c r="F30" s="27"/>
      <c r="G30" s="28"/>
      <c r="H30" s="28"/>
      <c r="I30" s="28"/>
      <c r="J30" s="28"/>
      <c r="K30" s="28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7"/>
      <c r="F31" s="27"/>
      <c r="G31" s="28"/>
      <c r="H31" s="28"/>
      <c r="I31" s="28"/>
      <c r="J31" s="28"/>
      <c r="K31" s="28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7"/>
      <c r="F32" s="27"/>
      <c r="G32" s="28"/>
      <c r="H32" s="28"/>
      <c r="I32" s="28"/>
      <c r="J32" s="28"/>
      <c r="K32" s="28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7"/>
      <c r="F33" s="27"/>
      <c r="G33" s="28"/>
      <c r="H33" s="28"/>
      <c r="I33" s="28"/>
      <c r="J33" s="28"/>
      <c r="K33" s="28"/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7"/>
      <c r="F34" s="27"/>
      <c r="G34" s="28"/>
      <c r="H34" s="28"/>
      <c r="I34" s="28"/>
      <c r="J34" s="28"/>
      <c r="K34" s="28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7"/>
      <c r="F35" s="27"/>
      <c r="G35" s="28"/>
      <c r="H35" s="28"/>
      <c r="I35" s="28"/>
      <c r="J35" s="28"/>
      <c r="K35" s="28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7"/>
      <c r="F36" s="27"/>
      <c r="G36" s="28"/>
      <c r="H36" s="28"/>
      <c r="I36" s="28"/>
      <c r="J36" s="28"/>
      <c r="K36" s="28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7"/>
      <c r="F37" s="27"/>
      <c r="G37" s="28"/>
      <c r="H37" s="28"/>
      <c r="I37" s="28"/>
      <c r="J37" s="28"/>
      <c r="K37" s="28"/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7"/>
      <c r="F38" s="27"/>
      <c r="G38" s="28"/>
      <c r="H38" s="28"/>
      <c r="I38" s="28"/>
      <c r="J38" s="28"/>
      <c r="K38" s="28"/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7"/>
      <c r="F39" s="27"/>
      <c r="G39" s="28"/>
      <c r="H39" s="28"/>
      <c r="I39" s="28"/>
      <c r="J39" s="28"/>
      <c r="K39" s="28"/>
      <c r="L39" s="27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7"/>
      <c r="F40" s="27"/>
      <c r="G40" s="28"/>
      <c r="H40" s="28"/>
      <c r="I40" s="28"/>
      <c r="J40" s="28"/>
      <c r="K40" s="28"/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7"/>
      <c r="F41" s="27"/>
      <c r="G41" s="28"/>
      <c r="H41" s="28"/>
      <c r="I41" s="28"/>
      <c r="J41" s="28"/>
      <c r="K41" s="28"/>
      <c r="L41" s="27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7"/>
      <c r="F42" s="27"/>
      <c r="G42" s="28"/>
      <c r="H42" s="28"/>
      <c r="I42" s="28"/>
      <c r="J42" s="28"/>
      <c r="K42" s="28"/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7"/>
      <c r="F43" s="27"/>
      <c r="G43" s="28"/>
      <c r="H43" s="28"/>
      <c r="I43" s="28"/>
      <c r="J43" s="28"/>
      <c r="K43" s="28"/>
      <c r="L43" s="2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7"/>
      <c r="F44" s="27"/>
      <c r="G44" s="28"/>
      <c r="H44" s="28"/>
      <c r="I44" s="28"/>
      <c r="J44" s="28"/>
      <c r="K44" s="28"/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7"/>
      <c r="F45" s="27"/>
      <c r="G45" s="28"/>
      <c r="H45" s="28"/>
      <c r="I45" s="28"/>
      <c r="J45" s="28"/>
      <c r="K45" s="28"/>
      <c r="L45" s="27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7"/>
      <c r="F46" s="27"/>
      <c r="G46" s="28"/>
      <c r="H46" s="28"/>
      <c r="I46" s="28"/>
      <c r="J46" s="28"/>
      <c r="K46" s="28"/>
      <c r="L46" s="2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7"/>
      <c r="F47" s="27"/>
      <c r="G47" s="28"/>
      <c r="H47" s="28"/>
      <c r="I47" s="28"/>
      <c r="J47" s="28"/>
      <c r="K47" s="28"/>
      <c r="L47" s="27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7"/>
      <c r="F48" s="27"/>
      <c r="G48" s="28"/>
      <c r="H48" s="28"/>
      <c r="I48" s="28"/>
      <c r="J48" s="28"/>
      <c r="K48" s="28"/>
      <c r="L48" s="2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7"/>
      <c r="F49" s="27"/>
      <c r="G49" s="28"/>
      <c r="H49" s="28"/>
      <c r="I49" s="28"/>
      <c r="J49" s="28"/>
      <c r="K49" s="28"/>
      <c r="L49" s="27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7"/>
      <c r="F50" s="27"/>
      <c r="G50" s="28"/>
      <c r="H50" s="28"/>
      <c r="I50" s="28"/>
      <c r="J50" s="28"/>
      <c r="K50" s="28"/>
      <c r="L50" s="2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7"/>
      <c r="F51" s="27"/>
      <c r="G51" s="28"/>
      <c r="H51" s="28"/>
      <c r="I51" s="28"/>
      <c r="J51" s="28"/>
      <c r="K51" s="28"/>
      <c r="L51" s="27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7"/>
      <c r="F52" s="27"/>
      <c r="G52" s="28"/>
      <c r="H52" s="28"/>
      <c r="I52" s="28"/>
      <c r="J52" s="28"/>
      <c r="K52" s="28"/>
      <c r="L52" s="27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7"/>
      <c r="F53" s="27"/>
      <c r="G53" s="28"/>
      <c r="H53" s="28"/>
      <c r="I53" s="28"/>
      <c r="J53" s="28"/>
      <c r="K53" s="28"/>
      <c r="L53" s="27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7"/>
      <c r="F54" s="27"/>
      <c r="G54" s="28"/>
      <c r="H54" s="28"/>
      <c r="I54" s="28"/>
      <c r="J54" s="28"/>
      <c r="K54" s="28"/>
      <c r="L54" s="27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7"/>
      <c r="F55" s="27"/>
      <c r="G55" s="28"/>
      <c r="H55" s="28"/>
      <c r="I55" s="28"/>
      <c r="J55" s="28"/>
      <c r="K55" s="28"/>
      <c r="L55" s="27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7"/>
      <c r="F56" s="27"/>
      <c r="G56" s="28"/>
      <c r="H56" s="28"/>
      <c r="I56" s="28"/>
      <c r="J56" s="28"/>
      <c r="K56" s="28"/>
      <c r="L56" s="2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7"/>
      <c r="F57" s="27"/>
      <c r="G57" s="28"/>
      <c r="H57" s="28"/>
      <c r="I57" s="28"/>
      <c r="J57" s="28"/>
      <c r="K57" s="28"/>
      <c r="L57" s="27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7"/>
      <c r="F58" s="27"/>
      <c r="G58" s="28"/>
      <c r="H58" s="28"/>
      <c r="I58" s="28"/>
      <c r="J58" s="28"/>
      <c r="K58" s="28"/>
      <c r="L58" s="27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7"/>
      <c r="F59" s="27"/>
      <c r="G59" s="28"/>
      <c r="H59" s="28"/>
      <c r="I59" s="28"/>
      <c r="J59" s="28"/>
      <c r="K59" s="28"/>
      <c r="L59" s="27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7"/>
      <c r="F60" s="27"/>
      <c r="G60" s="28"/>
      <c r="H60" s="28"/>
      <c r="I60" s="28"/>
      <c r="J60" s="28"/>
      <c r="K60" s="28"/>
      <c r="L60" s="27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7"/>
      <c r="F61" s="27"/>
      <c r="G61" s="28"/>
      <c r="H61" s="28"/>
      <c r="I61" s="28"/>
      <c r="J61" s="28"/>
      <c r="K61" s="28"/>
      <c r="L61" s="2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7"/>
      <c r="F62" s="27"/>
      <c r="G62" s="28"/>
      <c r="H62" s="28"/>
      <c r="I62" s="28"/>
      <c r="J62" s="28"/>
      <c r="K62" s="28"/>
      <c r="L62" s="27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7"/>
      <c r="F63" s="27"/>
      <c r="G63" s="28"/>
      <c r="H63" s="28"/>
      <c r="I63" s="28"/>
      <c r="J63" s="28"/>
      <c r="K63" s="28"/>
      <c r="L63" s="27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7"/>
      <c r="F64" s="27"/>
      <c r="G64" s="28"/>
      <c r="H64" s="28"/>
      <c r="I64" s="28"/>
      <c r="J64" s="28"/>
      <c r="K64" s="28"/>
      <c r="L64" s="27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7"/>
      <c r="F65" s="27"/>
      <c r="G65" s="28"/>
      <c r="H65" s="28"/>
      <c r="I65" s="28"/>
      <c r="J65" s="28"/>
      <c r="K65" s="28"/>
      <c r="L65" s="27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7"/>
      <c r="F66" s="27"/>
      <c r="G66" s="28"/>
      <c r="H66" s="28"/>
      <c r="I66" s="28"/>
      <c r="J66" s="28"/>
      <c r="K66" s="28"/>
      <c r="L66" s="27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7"/>
      <c r="F67" s="27"/>
      <c r="G67" s="28"/>
      <c r="H67" s="28"/>
      <c r="I67" s="28"/>
      <c r="J67" s="28"/>
      <c r="K67" s="28"/>
      <c r="L67" s="27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7"/>
      <c r="F68" s="27"/>
      <c r="G68" s="28"/>
      <c r="H68" s="28"/>
      <c r="I68" s="28"/>
      <c r="J68" s="28"/>
      <c r="K68" s="28"/>
      <c r="L68" s="27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7"/>
      <c r="F69" s="27"/>
      <c r="G69" s="28"/>
      <c r="H69" s="28"/>
      <c r="I69" s="28"/>
      <c r="J69" s="28"/>
      <c r="K69" s="28"/>
      <c r="L69" s="27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7"/>
      <c r="F70" s="27"/>
      <c r="G70" s="28"/>
      <c r="H70" s="28"/>
      <c r="I70" s="28"/>
      <c r="J70" s="28"/>
      <c r="K70" s="28"/>
      <c r="L70" s="27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7"/>
      <c r="F71" s="27"/>
      <c r="G71" s="28"/>
      <c r="H71" s="28"/>
      <c r="I71" s="28"/>
      <c r="J71" s="28"/>
      <c r="K71" s="28"/>
      <c r="L71" s="27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7"/>
      <c r="F72" s="27"/>
      <c r="G72" s="28"/>
      <c r="H72" s="28"/>
      <c r="I72" s="28"/>
      <c r="J72" s="28"/>
      <c r="K72" s="28"/>
      <c r="L72" s="27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7"/>
      <c r="F73" s="27"/>
      <c r="G73" s="28"/>
      <c r="H73" s="28"/>
      <c r="I73" s="28"/>
      <c r="J73" s="28"/>
      <c r="K73" s="28"/>
      <c r="L73" s="27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7"/>
      <c r="F74" s="27"/>
      <c r="G74" s="28"/>
      <c r="H74" s="28"/>
      <c r="I74" s="28"/>
      <c r="J74" s="28"/>
      <c r="K74" s="28"/>
      <c r="L74" s="2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7"/>
      <c r="F75" s="27"/>
      <c r="G75" s="28"/>
      <c r="H75" s="28"/>
      <c r="I75" s="28"/>
      <c r="J75" s="28"/>
      <c r="K75" s="28"/>
      <c r="L75" s="27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7"/>
      <c r="F76" s="27"/>
      <c r="G76" s="28"/>
      <c r="H76" s="28"/>
      <c r="I76" s="28"/>
      <c r="J76" s="28"/>
      <c r="K76" s="28"/>
      <c r="L76" s="27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7"/>
      <c r="F77" s="27"/>
      <c r="G77" s="28"/>
      <c r="H77" s="28"/>
      <c r="I77" s="28"/>
      <c r="J77" s="28"/>
      <c r="K77" s="28"/>
      <c r="L77" s="2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7"/>
      <c r="F78" s="27"/>
      <c r="G78" s="28"/>
      <c r="H78" s="28"/>
      <c r="I78" s="28"/>
      <c r="J78" s="28"/>
      <c r="K78" s="28"/>
      <c r="L78" s="2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7"/>
      <c r="F79" s="27"/>
      <c r="G79" s="28"/>
      <c r="H79" s="28"/>
      <c r="I79" s="28"/>
      <c r="J79" s="28"/>
      <c r="K79" s="28"/>
      <c r="L79" s="27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7"/>
      <c r="F80" s="27"/>
      <c r="G80" s="28"/>
      <c r="H80" s="28"/>
      <c r="I80" s="28"/>
      <c r="J80" s="28"/>
      <c r="K80" s="28"/>
      <c r="L80" s="27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7"/>
      <c r="F81" s="27"/>
      <c r="G81" s="28"/>
      <c r="H81" s="28"/>
      <c r="I81" s="28"/>
      <c r="J81" s="28"/>
      <c r="K81" s="28"/>
      <c r="L81" s="2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7"/>
      <c r="F82" s="27"/>
      <c r="G82" s="28"/>
      <c r="H82" s="28"/>
      <c r="I82" s="28"/>
      <c r="J82" s="28"/>
      <c r="K82" s="28"/>
      <c r="L82" s="2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7"/>
      <c r="F83" s="27"/>
      <c r="G83" s="28"/>
      <c r="H83" s="28"/>
      <c r="I83" s="28"/>
      <c r="J83" s="28"/>
      <c r="K83" s="28"/>
      <c r="L83" s="27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7"/>
      <c r="F84" s="27"/>
      <c r="G84" s="28"/>
      <c r="H84" s="28"/>
      <c r="I84" s="28"/>
      <c r="J84" s="28"/>
      <c r="K84" s="28"/>
      <c r="L84" s="27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7"/>
      <c r="F85" s="27"/>
      <c r="G85" s="28"/>
      <c r="H85" s="28"/>
      <c r="I85" s="28"/>
      <c r="J85" s="28"/>
      <c r="K85" s="28"/>
      <c r="L85" s="27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7"/>
      <c r="F86" s="27"/>
      <c r="G86" s="28"/>
      <c r="H86" s="28"/>
      <c r="I86" s="28"/>
      <c r="J86" s="28"/>
      <c r="K86" s="28"/>
      <c r="L86" s="27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7"/>
      <c r="F87" s="27"/>
      <c r="G87" s="28"/>
      <c r="H87" s="28"/>
      <c r="I87" s="28"/>
      <c r="J87" s="28"/>
      <c r="K87" s="28"/>
      <c r="L87" s="27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7"/>
      <c r="F88" s="27"/>
      <c r="G88" s="28"/>
      <c r="H88" s="28"/>
      <c r="I88" s="28"/>
      <c r="J88" s="28"/>
      <c r="K88" s="28"/>
      <c r="L88" s="27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7"/>
      <c r="F89" s="27"/>
      <c r="G89" s="28"/>
      <c r="H89" s="28"/>
      <c r="I89" s="28"/>
      <c r="J89" s="28"/>
      <c r="K89" s="28"/>
      <c r="L89" s="27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7"/>
      <c r="F90" s="27"/>
      <c r="G90" s="28"/>
      <c r="H90" s="28"/>
      <c r="I90" s="28"/>
      <c r="J90" s="28"/>
      <c r="K90" s="28"/>
      <c r="L90" s="27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7"/>
      <c r="F91" s="27"/>
      <c r="G91" s="28"/>
      <c r="H91" s="28"/>
      <c r="I91" s="28"/>
      <c r="J91" s="28"/>
      <c r="K91" s="28"/>
      <c r="L91" s="27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7"/>
      <c r="F92" s="27"/>
      <c r="G92" s="28"/>
      <c r="H92" s="28"/>
      <c r="I92" s="28"/>
      <c r="J92" s="28"/>
      <c r="K92" s="28"/>
      <c r="L92" s="27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7"/>
      <c r="F93" s="27"/>
      <c r="G93" s="28"/>
      <c r="H93" s="28"/>
      <c r="I93" s="28"/>
      <c r="J93" s="28"/>
      <c r="K93" s="28"/>
      <c r="L93" s="27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7"/>
      <c r="F94" s="27"/>
      <c r="G94" s="28"/>
      <c r="H94" s="28"/>
      <c r="I94" s="28"/>
      <c r="J94" s="28"/>
      <c r="K94" s="28"/>
      <c r="L94" s="27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7"/>
      <c r="F95" s="27"/>
      <c r="G95" s="28"/>
      <c r="H95" s="28"/>
      <c r="I95" s="28"/>
      <c r="J95" s="28"/>
      <c r="K95" s="28"/>
      <c r="L95" s="27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7"/>
      <c r="F96" s="27"/>
      <c r="G96" s="28"/>
      <c r="H96" s="28"/>
      <c r="I96" s="28"/>
      <c r="J96" s="28"/>
      <c r="K96" s="28"/>
      <c r="L96" s="27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7"/>
      <c r="F97" s="27"/>
      <c r="G97" s="28"/>
      <c r="H97" s="28"/>
      <c r="I97" s="28"/>
      <c r="J97" s="28"/>
      <c r="K97" s="28"/>
      <c r="L97" s="27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7"/>
      <c r="F98" s="27"/>
      <c r="G98" s="28"/>
      <c r="H98" s="28"/>
      <c r="I98" s="28"/>
      <c r="J98" s="28"/>
      <c r="K98" s="28"/>
      <c r="L98" s="27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7"/>
      <c r="F99" s="27"/>
      <c r="G99" s="28"/>
      <c r="H99" s="28"/>
      <c r="I99" s="28"/>
      <c r="J99" s="28"/>
      <c r="K99" s="28"/>
      <c r="L99" s="27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7"/>
      <c r="F100" s="27"/>
      <c r="G100" s="28"/>
      <c r="H100" s="28"/>
      <c r="I100" s="28"/>
      <c r="J100" s="28"/>
      <c r="K100" s="28"/>
      <c r="L100" s="27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7"/>
      <c r="F101" s="27"/>
      <c r="G101" s="28"/>
      <c r="H101" s="28"/>
      <c r="I101" s="28"/>
      <c r="J101" s="28"/>
      <c r="K101" s="28"/>
      <c r="L101" s="27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7"/>
      <c r="F102" s="27"/>
      <c r="G102" s="28"/>
      <c r="H102" s="28"/>
      <c r="I102" s="28"/>
      <c r="J102" s="28"/>
      <c r="K102" s="28"/>
      <c r="L102" s="27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7"/>
      <c r="F103" s="27"/>
      <c r="G103" s="28"/>
      <c r="H103" s="28"/>
      <c r="I103" s="28"/>
      <c r="J103" s="28"/>
      <c r="K103" s="28"/>
      <c r="L103" s="27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7"/>
      <c r="F104" s="27"/>
      <c r="G104" s="28"/>
      <c r="H104" s="28"/>
      <c r="I104" s="28"/>
      <c r="J104" s="28"/>
      <c r="K104" s="28"/>
      <c r="L104" s="27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7"/>
      <c r="F105" s="27"/>
      <c r="G105" s="28"/>
      <c r="H105" s="28"/>
      <c r="I105" s="28"/>
      <c r="J105" s="28"/>
      <c r="K105" s="28"/>
      <c r="L105" s="27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7"/>
      <c r="F106" s="27"/>
      <c r="G106" s="28"/>
      <c r="H106" s="28"/>
      <c r="I106" s="28"/>
      <c r="J106" s="28"/>
      <c r="K106" s="28"/>
      <c r="L106" s="27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7"/>
      <c r="F107" s="27"/>
      <c r="G107" s="28"/>
      <c r="H107" s="28"/>
      <c r="I107" s="28"/>
      <c r="J107" s="28"/>
      <c r="K107" s="28"/>
      <c r="L107" s="27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7"/>
      <c r="F108" s="27"/>
      <c r="G108" s="28"/>
      <c r="H108" s="28"/>
      <c r="I108" s="28"/>
      <c r="J108" s="28"/>
      <c r="K108" s="28"/>
      <c r="L108" s="27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7"/>
      <c r="F109" s="27"/>
      <c r="G109" s="28"/>
      <c r="H109" s="28"/>
      <c r="I109" s="28"/>
      <c r="J109" s="28"/>
      <c r="K109" s="28"/>
      <c r="L109" s="27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7"/>
      <c r="F110" s="27"/>
      <c r="G110" s="28"/>
      <c r="H110" s="28"/>
      <c r="I110" s="28"/>
      <c r="J110" s="28"/>
      <c r="K110" s="28"/>
      <c r="L110" s="27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7"/>
      <c r="F111" s="27"/>
      <c r="G111" s="28"/>
      <c r="H111" s="28"/>
      <c r="I111" s="28"/>
      <c r="J111" s="28"/>
      <c r="K111" s="28"/>
      <c r="L111" s="27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7"/>
      <c r="F112" s="27"/>
      <c r="G112" s="28"/>
      <c r="H112" s="28"/>
      <c r="I112" s="28"/>
      <c r="J112" s="28"/>
      <c r="K112" s="28"/>
      <c r="L112" s="27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7"/>
      <c r="F113" s="27"/>
      <c r="G113" s="28"/>
      <c r="H113" s="28"/>
      <c r="I113" s="28"/>
      <c r="J113" s="28"/>
      <c r="K113" s="28"/>
      <c r="L113" s="27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7"/>
      <c r="F114" s="27"/>
      <c r="G114" s="28"/>
      <c r="H114" s="28"/>
      <c r="I114" s="28"/>
      <c r="J114" s="28"/>
      <c r="K114" s="28"/>
      <c r="L114" s="27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7"/>
      <c r="F115" s="27"/>
      <c r="G115" s="28"/>
      <c r="H115" s="28"/>
      <c r="I115" s="28"/>
      <c r="J115" s="28"/>
      <c r="K115" s="28"/>
      <c r="L115" s="27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7"/>
      <c r="F116" s="27"/>
      <c r="G116" s="28"/>
      <c r="H116" s="28"/>
      <c r="I116" s="28"/>
      <c r="J116" s="28"/>
      <c r="K116" s="28"/>
      <c r="L116" s="27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7"/>
      <c r="F117" s="27"/>
      <c r="G117" s="28"/>
      <c r="H117" s="28"/>
      <c r="I117" s="28"/>
      <c r="J117" s="28"/>
      <c r="K117" s="28"/>
      <c r="L117" s="27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7"/>
      <c r="F118" s="27"/>
      <c r="G118" s="28"/>
      <c r="H118" s="28"/>
      <c r="I118" s="28"/>
      <c r="J118" s="28"/>
      <c r="K118" s="28"/>
      <c r="L118" s="27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7"/>
      <c r="F119" s="27"/>
      <c r="G119" s="28"/>
      <c r="H119" s="28"/>
      <c r="I119" s="28"/>
      <c r="J119" s="28"/>
      <c r="K119" s="28"/>
      <c r="L119" s="27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7"/>
      <c r="F120" s="27"/>
      <c r="G120" s="28"/>
      <c r="H120" s="28"/>
      <c r="I120" s="28"/>
      <c r="J120" s="28"/>
      <c r="K120" s="28"/>
      <c r="L120" s="27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7"/>
      <c r="F121" s="27"/>
      <c r="G121" s="28"/>
      <c r="H121" s="28"/>
      <c r="I121" s="28"/>
      <c r="J121" s="28"/>
      <c r="K121" s="28"/>
      <c r="L121" s="27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7"/>
      <c r="F122" s="27"/>
      <c r="G122" s="28"/>
      <c r="H122" s="28"/>
      <c r="I122" s="28"/>
      <c r="J122" s="28"/>
      <c r="K122" s="28"/>
      <c r="L122" s="27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7"/>
      <c r="F123" s="27"/>
      <c r="G123" s="28"/>
      <c r="H123" s="28"/>
      <c r="I123" s="28"/>
      <c r="J123" s="28"/>
      <c r="K123" s="28"/>
      <c r="L123" s="27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7"/>
      <c r="F124" s="27"/>
      <c r="G124" s="28"/>
      <c r="H124" s="28"/>
      <c r="I124" s="28"/>
      <c r="J124" s="28"/>
      <c r="K124" s="28"/>
      <c r="L124" s="27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7"/>
      <c r="F125" s="27"/>
      <c r="G125" s="28"/>
      <c r="H125" s="28"/>
      <c r="I125" s="28"/>
      <c r="J125" s="28"/>
      <c r="K125" s="28"/>
      <c r="L125" s="27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7"/>
      <c r="F126" s="27"/>
      <c r="G126" s="28"/>
      <c r="H126" s="28"/>
      <c r="I126" s="28"/>
      <c r="J126" s="28"/>
      <c r="K126" s="28"/>
      <c r="L126" s="27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7"/>
      <c r="F127" s="27"/>
      <c r="G127" s="28"/>
      <c r="H127" s="28"/>
      <c r="I127" s="28"/>
      <c r="J127" s="28"/>
      <c r="K127" s="28"/>
      <c r="L127" s="27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7"/>
      <c r="F128" s="27"/>
      <c r="G128" s="28"/>
      <c r="H128" s="28"/>
      <c r="I128" s="28"/>
      <c r="J128" s="28"/>
      <c r="K128" s="28"/>
      <c r="L128" s="27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7"/>
      <c r="F129" s="27"/>
      <c r="G129" s="28"/>
      <c r="H129" s="28"/>
      <c r="I129" s="28"/>
      <c r="J129" s="28"/>
      <c r="K129" s="28"/>
      <c r="L129" s="27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7"/>
      <c r="F130" s="27"/>
      <c r="G130" s="28"/>
      <c r="H130" s="28"/>
      <c r="I130" s="28"/>
      <c r="J130" s="28"/>
      <c r="K130" s="28"/>
      <c r="L130" s="27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7"/>
      <c r="F131" s="27"/>
      <c r="G131" s="28"/>
      <c r="H131" s="28"/>
      <c r="I131" s="28"/>
      <c r="J131" s="28"/>
      <c r="K131" s="28"/>
      <c r="L131" s="27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7"/>
      <c r="F132" s="27"/>
      <c r="G132" s="28"/>
      <c r="H132" s="28"/>
      <c r="I132" s="28"/>
      <c r="J132" s="28"/>
      <c r="K132" s="28"/>
      <c r="L132" s="27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7"/>
      <c r="F133" s="27"/>
      <c r="G133" s="28"/>
      <c r="H133" s="28"/>
      <c r="I133" s="28"/>
      <c r="J133" s="28"/>
      <c r="K133" s="28"/>
      <c r="L133" s="27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7"/>
      <c r="F134" s="27"/>
      <c r="G134" s="28"/>
      <c r="H134" s="28"/>
      <c r="I134" s="28"/>
      <c r="J134" s="28"/>
      <c r="K134" s="28"/>
      <c r="L134" s="27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7"/>
      <c r="F135" s="27"/>
      <c r="G135" s="28"/>
      <c r="H135" s="28"/>
      <c r="I135" s="28"/>
      <c r="J135" s="28"/>
      <c r="K135" s="28"/>
      <c r="L135" s="27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7"/>
      <c r="F136" s="27"/>
      <c r="G136" s="28"/>
      <c r="H136" s="28"/>
      <c r="I136" s="28"/>
      <c r="J136" s="28"/>
      <c r="K136" s="28"/>
      <c r="L136" s="27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7"/>
      <c r="F137" s="27"/>
      <c r="G137" s="28"/>
      <c r="H137" s="28"/>
      <c r="I137" s="28"/>
      <c r="J137" s="28"/>
      <c r="K137" s="28"/>
      <c r="L137" s="27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7"/>
      <c r="F138" s="27"/>
      <c r="G138" s="28"/>
      <c r="H138" s="28"/>
      <c r="I138" s="28"/>
      <c r="J138" s="28"/>
      <c r="K138" s="28"/>
      <c r="L138" s="27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7"/>
      <c r="F139" s="27"/>
      <c r="G139" s="28"/>
      <c r="H139" s="28"/>
      <c r="I139" s="28"/>
      <c r="J139" s="28"/>
      <c r="K139" s="28"/>
      <c r="L139" s="27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7"/>
      <c r="F140" s="27"/>
      <c r="G140" s="28"/>
      <c r="H140" s="28"/>
      <c r="I140" s="28"/>
      <c r="J140" s="28"/>
      <c r="K140" s="28"/>
      <c r="L140" s="27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7"/>
      <c r="F141" s="27"/>
      <c r="G141" s="28"/>
      <c r="H141" s="28"/>
      <c r="I141" s="28"/>
      <c r="J141" s="28"/>
      <c r="K141" s="28"/>
      <c r="L141" s="27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7"/>
      <c r="F142" s="27"/>
      <c r="G142" s="28"/>
      <c r="H142" s="28"/>
      <c r="I142" s="28"/>
      <c r="J142" s="28"/>
      <c r="K142" s="28"/>
      <c r="L142" s="27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7"/>
      <c r="F143" s="27"/>
      <c r="G143" s="28"/>
      <c r="H143" s="28"/>
      <c r="I143" s="28"/>
      <c r="J143" s="28"/>
      <c r="K143" s="28"/>
      <c r="L143" s="27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7"/>
      <c r="F144" s="27"/>
      <c r="G144" s="28"/>
      <c r="H144" s="28"/>
      <c r="I144" s="28"/>
      <c r="J144" s="28"/>
      <c r="K144" s="28"/>
      <c r="L144" s="27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7"/>
      <c r="F145" s="27"/>
      <c r="G145" s="28"/>
      <c r="H145" s="28"/>
      <c r="I145" s="28"/>
      <c r="J145" s="28"/>
      <c r="K145" s="28"/>
      <c r="L145" s="27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7"/>
      <c r="F146" s="27"/>
      <c r="G146" s="28"/>
      <c r="H146" s="28"/>
      <c r="I146" s="28"/>
      <c r="J146" s="28"/>
      <c r="K146" s="28"/>
      <c r="L146" s="27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7"/>
      <c r="F147" s="27"/>
      <c r="G147" s="28"/>
      <c r="H147" s="28"/>
      <c r="I147" s="28"/>
      <c r="J147" s="28"/>
      <c r="K147" s="28"/>
      <c r="L147" s="27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7"/>
      <c r="F148" s="27"/>
      <c r="G148" s="28"/>
      <c r="H148" s="28"/>
      <c r="I148" s="28"/>
      <c r="J148" s="28"/>
      <c r="K148" s="28"/>
      <c r="L148" s="27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7"/>
      <c r="F149" s="27"/>
      <c r="G149" s="28"/>
      <c r="H149" s="28"/>
      <c r="I149" s="28"/>
      <c r="J149" s="28"/>
      <c r="K149" s="28"/>
      <c r="L149" s="27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7"/>
      <c r="F150" s="27"/>
      <c r="G150" s="28"/>
      <c r="H150" s="28"/>
      <c r="I150" s="28"/>
      <c r="J150" s="28"/>
      <c r="K150" s="28"/>
      <c r="L150" s="27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7"/>
      <c r="F151" s="27"/>
      <c r="G151" s="28"/>
      <c r="H151" s="28"/>
      <c r="I151" s="28"/>
      <c r="J151" s="28"/>
      <c r="K151" s="28"/>
      <c r="L151" s="27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7"/>
      <c r="F152" s="27"/>
      <c r="G152" s="28"/>
      <c r="H152" s="28"/>
      <c r="I152" s="28"/>
      <c r="J152" s="28"/>
      <c r="K152" s="28"/>
      <c r="L152" s="27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7"/>
      <c r="F153" s="27"/>
      <c r="G153" s="28"/>
      <c r="H153" s="28"/>
      <c r="I153" s="28"/>
      <c r="J153" s="28"/>
      <c r="K153" s="28"/>
      <c r="L153" s="27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7"/>
      <c r="F154" s="27"/>
      <c r="G154" s="28"/>
      <c r="H154" s="28"/>
      <c r="I154" s="28"/>
      <c r="J154" s="28"/>
      <c r="K154" s="28"/>
      <c r="L154" s="27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7"/>
      <c r="F155" s="27"/>
      <c r="G155" s="28"/>
      <c r="H155" s="28"/>
      <c r="I155" s="28"/>
      <c r="J155" s="28"/>
      <c r="K155" s="28"/>
      <c r="L155" s="27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7"/>
      <c r="F156" s="27"/>
      <c r="G156" s="28"/>
      <c r="H156" s="28"/>
      <c r="I156" s="28"/>
      <c r="J156" s="28"/>
      <c r="K156" s="28"/>
      <c r="L156" s="27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7"/>
      <c r="F157" s="27"/>
      <c r="G157" s="28"/>
      <c r="H157" s="28"/>
      <c r="I157" s="28"/>
      <c r="J157" s="28"/>
      <c r="K157" s="28"/>
      <c r="L157" s="27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7"/>
      <c r="F158" s="27"/>
      <c r="G158" s="28"/>
      <c r="H158" s="28"/>
      <c r="I158" s="28"/>
      <c r="J158" s="28"/>
      <c r="K158" s="28"/>
      <c r="L158" s="27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7"/>
      <c r="F159" s="27"/>
      <c r="G159" s="28"/>
      <c r="H159" s="28"/>
      <c r="I159" s="28"/>
      <c r="J159" s="28"/>
      <c r="K159" s="28"/>
      <c r="L159" s="27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7"/>
      <c r="F160" s="27"/>
      <c r="G160" s="28"/>
      <c r="H160" s="28"/>
      <c r="I160" s="28"/>
      <c r="J160" s="28"/>
      <c r="K160" s="28"/>
      <c r="L160" s="27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7"/>
      <c r="F161" s="27"/>
      <c r="G161" s="28"/>
      <c r="H161" s="28"/>
      <c r="I161" s="28"/>
      <c r="J161" s="28"/>
      <c r="K161" s="28"/>
      <c r="L161" s="27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7"/>
      <c r="F162" s="27"/>
      <c r="G162" s="28"/>
      <c r="H162" s="28"/>
      <c r="I162" s="28"/>
      <c r="J162" s="28"/>
      <c r="K162" s="28"/>
      <c r="L162" s="27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7"/>
      <c r="F163" s="27"/>
      <c r="G163" s="28"/>
      <c r="H163" s="28"/>
      <c r="I163" s="28"/>
      <c r="J163" s="28"/>
      <c r="K163" s="28"/>
      <c r="L163" s="27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7"/>
      <c r="F164" s="27"/>
      <c r="G164" s="28"/>
      <c r="H164" s="28"/>
      <c r="I164" s="28"/>
      <c r="J164" s="28"/>
      <c r="K164" s="28"/>
      <c r="L164" s="27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7"/>
      <c r="F165" s="27"/>
      <c r="G165" s="28"/>
      <c r="H165" s="28"/>
      <c r="I165" s="28"/>
      <c r="J165" s="28"/>
      <c r="K165" s="28"/>
      <c r="L165" s="27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7"/>
      <c r="F166" s="27"/>
      <c r="G166" s="28"/>
      <c r="H166" s="28"/>
      <c r="I166" s="28"/>
      <c r="J166" s="28"/>
      <c r="K166" s="28"/>
      <c r="L166" s="27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7"/>
      <c r="F167" s="27"/>
      <c r="G167" s="28"/>
      <c r="H167" s="28"/>
      <c r="I167" s="28"/>
      <c r="J167" s="28"/>
      <c r="K167" s="28"/>
      <c r="L167" s="27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7"/>
      <c r="F168" s="27"/>
      <c r="G168" s="28"/>
      <c r="H168" s="28"/>
      <c r="I168" s="28"/>
      <c r="J168" s="28"/>
      <c r="K168" s="28"/>
      <c r="L168" s="27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7"/>
      <c r="F169" s="27"/>
      <c r="G169" s="28"/>
      <c r="H169" s="28"/>
      <c r="I169" s="28"/>
      <c r="J169" s="28"/>
      <c r="K169" s="28"/>
      <c r="L169" s="27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7"/>
      <c r="F170" s="27"/>
      <c r="G170" s="28"/>
      <c r="H170" s="28"/>
      <c r="I170" s="28"/>
      <c r="J170" s="28"/>
      <c r="K170" s="28"/>
      <c r="L170" s="27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7"/>
      <c r="F171" s="27"/>
      <c r="G171" s="28"/>
      <c r="H171" s="28"/>
      <c r="I171" s="28"/>
      <c r="J171" s="28"/>
      <c r="K171" s="28"/>
      <c r="L171" s="27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7"/>
      <c r="F172" s="27"/>
      <c r="G172" s="28"/>
      <c r="H172" s="28"/>
      <c r="I172" s="28"/>
      <c r="J172" s="28"/>
      <c r="K172" s="28"/>
      <c r="L172" s="27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7"/>
      <c r="F173" s="27"/>
      <c r="G173" s="28"/>
      <c r="H173" s="28"/>
      <c r="I173" s="28"/>
      <c r="J173" s="28"/>
      <c r="K173" s="28"/>
      <c r="L173" s="27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7"/>
      <c r="F174" s="27"/>
      <c r="G174" s="28"/>
      <c r="H174" s="28"/>
      <c r="I174" s="28"/>
      <c r="J174" s="28"/>
      <c r="K174" s="28"/>
      <c r="L174" s="27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7"/>
      <c r="F175" s="27"/>
      <c r="G175" s="28"/>
      <c r="H175" s="28"/>
      <c r="I175" s="28"/>
      <c r="J175" s="28"/>
      <c r="K175" s="28"/>
      <c r="L175" s="27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7"/>
      <c r="F176" s="27"/>
      <c r="G176" s="28"/>
      <c r="H176" s="28"/>
      <c r="I176" s="28"/>
      <c r="J176" s="28"/>
      <c r="K176" s="28"/>
      <c r="L176" s="27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7"/>
      <c r="F177" s="27"/>
      <c r="G177" s="28"/>
      <c r="H177" s="28"/>
      <c r="I177" s="28"/>
      <c r="J177" s="28"/>
      <c r="K177" s="28"/>
      <c r="L177" s="27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7"/>
      <c r="F178" s="27"/>
      <c r="G178" s="28"/>
      <c r="H178" s="28"/>
      <c r="I178" s="28"/>
      <c r="J178" s="28"/>
      <c r="K178" s="28"/>
      <c r="L178" s="27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7"/>
      <c r="F179" s="27"/>
      <c r="G179" s="28"/>
      <c r="H179" s="28"/>
      <c r="I179" s="28"/>
      <c r="J179" s="28"/>
      <c r="K179" s="28"/>
      <c r="L179" s="27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7"/>
      <c r="F180" s="27"/>
      <c r="G180" s="28"/>
      <c r="H180" s="28"/>
      <c r="I180" s="28"/>
      <c r="J180" s="28"/>
      <c r="K180" s="28"/>
      <c r="L180" s="27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7"/>
      <c r="F181" s="27"/>
      <c r="G181" s="28"/>
      <c r="H181" s="28"/>
      <c r="I181" s="28"/>
      <c r="J181" s="28"/>
      <c r="K181" s="28"/>
      <c r="L181" s="27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7"/>
      <c r="F182" s="27"/>
      <c r="G182" s="28"/>
      <c r="H182" s="28"/>
      <c r="I182" s="28"/>
      <c r="J182" s="28"/>
      <c r="K182" s="28"/>
      <c r="L182" s="27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7"/>
      <c r="F183" s="27"/>
      <c r="G183" s="28"/>
      <c r="H183" s="28"/>
      <c r="I183" s="28"/>
      <c r="J183" s="28"/>
      <c r="K183" s="28"/>
      <c r="L183" s="27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7"/>
      <c r="F184" s="27"/>
      <c r="G184" s="28"/>
      <c r="H184" s="28"/>
      <c r="I184" s="28"/>
      <c r="J184" s="28"/>
      <c r="K184" s="28"/>
      <c r="L184" s="27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7"/>
      <c r="F185" s="27"/>
      <c r="G185" s="28"/>
      <c r="H185" s="28"/>
      <c r="I185" s="28"/>
      <c r="J185" s="28"/>
      <c r="K185" s="28"/>
      <c r="L185" s="27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7"/>
      <c r="F186" s="27"/>
      <c r="G186" s="28"/>
      <c r="H186" s="28"/>
      <c r="I186" s="28"/>
      <c r="J186" s="28"/>
      <c r="K186" s="28"/>
      <c r="L186" s="27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7"/>
      <c r="F187" s="27"/>
      <c r="G187" s="28"/>
      <c r="H187" s="28"/>
      <c r="I187" s="28"/>
      <c r="J187" s="28"/>
      <c r="K187" s="28"/>
      <c r="L187" s="27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7"/>
      <c r="F188" s="27"/>
      <c r="G188" s="28"/>
      <c r="H188" s="28"/>
      <c r="I188" s="28"/>
      <c r="J188" s="28"/>
      <c r="K188" s="28"/>
      <c r="L188" s="27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7"/>
      <c r="F189" s="27"/>
      <c r="G189" s="28"/>
      <c r="H189" s="28"/>
      <c r="I189" s="28"/>
      <c r="J189" s="28"/>
      <c r="K189" s="28"/>
      <c r="L189" s="27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7"/>
      <c r="F190" s="27"/>
      <c r="G190" s="28"/>
      <c r="H190" s="28"/>
      <c r="I190" s="28"/>
      <c r="J190" s="28"/>
      <c r="K190" s="28"/>
      <c r="L190" s="27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7"/>
      <c r="F191" s="27"/>
      <c r="G191" s="28"/>
      <c r="H191" s="28"/>
      <c r="I191" s="28"/>
      <c r="J191" s="28"/>
      <c r="K191" s="28"/>
      <c r="L191" s="27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7"/>
      <c r="F192" s="27"/>
      <c r="G192" s="28"/>
      <c r="H192" s="28"/>
      <c r="I192" s="28"/>
      <c r="J192" s="28"/>
      <c r="K192" s="28"/>
      <c r="L192" s="27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7"/>
      <c r="F193" s="27"/>
      <c r="G193" s="28"/>
      <c r="H193" s="28"/>
      <c r="I193" s="28"/>
      <c r="J193" s="28"/>
      <c r="K193" s="28"/>
      <c r="L193" s="27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7"/>
      <c r="F194" s="27"/>
      <c r="G194" s="28"/>
      <c r="H194" s="28"/>
      <c r="I194" s="28"/>
      <c r="J194" s="28"/>
      <c r="K194" s="28"/>
      <c r="L194" s="27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7"/>
      <c r="F195" s="27"/>
      <c r="G195" s="28"/>
      <c r="H195" s="28"/>
      <c r="I195" s="28"/>
      <c r="J195" s="28"/>
      <c r="K195" s="28"/>
      <c r="L195" s="27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7"/>
      <c r="F196" s="27"/>
      <c r="G196" s="28"/>
      <c r="H196" s="28"/>
      <c r="I196" s="28"/>
      <c r="J196" s="28"/>
      <c r="K196" s="28"/>
      <c r="L196" s="27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7"/>
      <c r="F197" s="27"/>
      <c r="G197" s="28"/>
      <c r="H197" s="28"/>
      <c r="I197" s="28"/>
      <c r="J197" s="28"/>
      <c r="K197" s="28"/>
      <c r="L197" s="27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7"/>
      <c r="F198" s="27"/>
      <c r="G198" s="28"/>
      <c r="H198" s="28"/>
      <c r="I198" s="28"/>
      <c r="J198" s="28"/>
      <c r="K198" s="28"/>
      <c r="L198" s="27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7"/>
      <c r="F199" s="27"/>
      <c r="G199" s="28"/>
      <c r="H199" s="28"/>
      <c r="I199" s="28"/>
      <c r="J199" s="28"/>
      <c r="K199" s="28"/>
      <c r="L199" s="27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7"/>
      <c r="F200" s="27"/>
      <c r="G200" s="28"/>
      <c r="H200" s="28"/>
      <c r="I200" s="28"/>
      <c r="J200" s="28"/>
      <c r="K200" s="28"/>
      <c r="L200" s="27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7"/>
      <c r="F201" s="27"/>
      <c r="G201" s="28"/>
      <c r="H201" s="28"/>
      <c r="I201" s="28"/>
      <c r="J201" s="28"/>
      <c r="K201" s="28"/>
      <c r="L201" s="27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7"/>
      <c r="F202" s="27"/>
      <c r="G202" s="28"/>
      <c r="H202" s="28"/>
      <c r="I202" s="28"/>
      <c r="J202" s="28"/>
      <c r="K202" s="28"/>
      <c r="L202" s="27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7"/>
      <c r="F203" s="27"/>
      <c r="G203" s="28"/>
      <c r="H203" s="28"/>
      <c r="I203" s="28"/>
      <c r="J203" s="28"/>
      <c r="K203" s="28"/>
      <c r="L203" s="27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7"/>
      <c r="F204" s="27"/>
      <c r="G204" s="28"/>
      <c r="H204" s="28"/>
      <c r="I204" s="28"/>
      <c r="J204" s="28"/>
      <c r="K204" s="28"/>
      <c r="L204" s="27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7"/>
      <c r="F205" s="27"/>
      <c r="G205" s="28"/>
      <c r="H205" s="28"/>
      <c r="I205" s="28"/>
      <c r="J205" s="28"/>
      <c r="K205" s="28"/>
      <c r="L205" s="27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7"/>
      <c r="F206" s="27"/>
      <c r="G206" s="28"/>
      <c r="H206" s="28"/>
      <c r="I206" s="28"/>
      <c r="J206" s="28"/>
      <c r="K206" s="28"/>
      <c r="L206" s="27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7"/>
      <c r="F207" s="27"/>
      <c r="G207" s="28"/>
      <c r="H207" s="28"/>
      <c r="I207" s="28"/>
      <c r="J207" s="28"/>
      <c r="K207" s="28"/>
      <c r="L207" s="27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7"/>
      <c r="F208" s="27"/>
      <c r="G208" s="28"/>
      <c r="H208" s="28"/>
      <c r="I208" s="28"/>
      <c r="J208" s="28"/>
      <c r="K208" s="28"/>
      <c r="L208" s="27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7"/>
      <c r="F209" s="27"/>
      <c r="G209" s="28"/>
      <c r="H209" s="28"/>
      <c r="I209" s="28"/>
      <c r="J209" s="28"/>
      <c r="K209" s="28"/>
      <c r="L209" s="27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7"/>
      <c r="F210" s="27"/>
      <c r="G210" s="28"/>
      <c r="H210" s="28"/>
      <c r="I210" s="28"/>
      <c r="J210" s="28"/>
      <c r="K210" s="28"/>
      <c r="L210" s="27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7"/>
      <c r="F211" s="27"/>
      <c r="G211" s="28"/>
      <c r="H211" s="28"/>
      <c r="I211" s="28"/>
      <c r="J211" s="28"/>
      <c r="K211" s="28"/>
      <c r="L211" s="27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7"/>
      <c r="F212" s="27"/>
      <c r="G212" s="28"/>
      <c r="H212" s="28"/>
      <c r="I212" s="28"/>
      <c r="J212" s="28"/>
      <c r="K212" s="28"/>
      <c r="L212" s="27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7"/>
      <c r="F213" s="27"/>
      <c r="G213" s="28"/>
      <c r="H213" s="28"/>
      <c r="I213" s="28"/>
      <c r="J213" s="28"/>
      <c r="K213" s="28"/>
      <c r="L213" s="27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7"/>
      <c r="F214" s="27"/>
      <c r="G214" s="28"/>
      <c r="H214" s="28"/>
      <c r="I214" s="28"/>
      <c r="J214" s="28"/>
      <c r="K214" s="28"/>
      <c r="L214" s="27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7"/>
      <c r="F215" s="27"/>
      <c r="G215" s="28"/>
      <c r="H215" s="28"/>
      <c r="I215" s="28"/>
      <c r="J215" s="28"/>
      <c r="K215" s="28"/>
      <c r="L215" s="27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7"/>
      <c r="F216" s="27"/>
      <c r="G216" s="28"/>
      <c r="H216" s="28"/>
      <c r="I216" s="28"/>
      <c r="J216" s="28"/>
      <c r="K216" s="28"/>
      <c r="L216" s="27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7"/>
      <c r="F217" s="27"/>
      <c r="G217" s="28"/>
      <c r="H217" s="28"/>
      <c r="I217" s="28"/>
      <c r="J217" s="28"/>
      <c r="K217" s="28"/>
      <c r="L217" s="27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7"/>
      <c r="F218" s="27"/>
      <c r="G218" s="28"/>
      <c r="H218" s="28"/>
      <c r="I218" s="28"/>
      <c r="J218" s="28"/>
      <c r="K218" s="28"/>
      <c r="L218" s="27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7"/>
      <c r="F219" s="27"/>
      <c r="G219" s="28"/>
      <c r="H219" s="28"/>
      <c r="I219" s="28"/>
      <c r="J219" s="28"/>
      <c r="K219" s="28"/>
      <c r="L219" s="27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7"/>
      <c r="F220" s="27"/>
      <c r="G220" s="28"/>
      <c r="H220" s="28"/>
      <c r="I220" s="28"/>
      <c r="J220" s="28"/>
      <c r="K220" s="28"/>
      <c r="L220" s="27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2.5"/>
    <col customWidth="1" min="3" max="3" width="19.5"/>
    <col customWidth="1" min="4" max="4" width="11.63"/>
    <col customWidth="1" min="5" max="5" width="18.25"/>
    <col customWidth="1" min="6" max="6" width="22.88"/>
    <col customWidth="1" min="7" max="7" width="7.88"/>
    <col customWidth="1" min="8" max="8" width="7.25"/>
    <col customWidth="1" min="9" max="9" width="14.0"/>
    <col customWidth="1" min="10" max="10" width="27.0"/>
    <col customWidth="1" min="11" max="25" width="12.63"/>
  </cols>
  <sheetData>
    <row r="1" ht="12.75" customHeight="1">
      <c r="A1" s="27" t="s">
        <v>443</v>
      </c>
      <c r="B1" s="27" t="s">
        <v>444</v>
      </c>
      <c r="C1" s="27" t="s">
        <v>445</v>
      </c>
      <c r="D1" s="27" t="s">
        <v>446</v>
      </c>
      <c r="E1" s="27" t="s">
        <v>8</v>
      </c>
      <c r="F1" s="27" t="s">
        <v>9</v>
      </c>
      <c r="G1" s="27" t="s">
        <v>447</v>
      </c>
      <c r="H1" s="27" t="s">
        <v>10</v>
      </c>
      <c r="I1" s="27" t="s">
        <v>12</v>
      </c>
      <c r="J1" s="27" t="s">
        <v>448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30"/>
    </row>
    <row r="2" ht="12.75" customHeight="1">
      <c r="A2" s="31" t="s">
        <v>449</v>
      </c>
      <c r="B2" s="32" t="s">
        <v>450</v>
      </c>
      <c r="C2" s="31" t="s">
        <v>451</v>
      </c>
      <c r="D2" s="31" t="s">
        <v>452</v>
      </c>
      <c r="E2" s="31" t="s">
        <v>453</v>
      </c>
      <c r="F2" s="31" t="s">
        <v>454</v>
      </c>
      <c r="G2" s="27" t="s">
        <v>19</v>
      </c>
      <c r="H2" s="27" t="s">
        <v>415</v>
      </c>
      <c r="I2" s="31" t="s">
        <v>424</v>
      </c>
      <c r="J2" s="31" t="s">
        <v>455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9"/>
    </row>
    <row r="3" ht="12.75" customHeight="1">
      <c r="A3" s="31" t="s">
        <v>456</v>
      </c>
      <c r="B3" s="32" t="s">
        <v>457</v>
      </c>
      <c r="C3" s="31" t="s">
        <v>458</v>
      </c>
      <c r="D3" s="31" t="s">
        <v>452</v>
      </c>
      <c r="E3" s="31" t="s">
        <v>459</v>
      </c>
      <c r="F3" s="31" t="s">
        <v>460</v>
      </c>
      <c r="G3" s="27" t="s">
        <v>62</v>
      </c>
      <c r="H3" s="27" t="s">
        <v>433</v>
      </c>
      <c r="I3" s="31" t="s">
        <v>432</v>
      </c>
      <c r="J3" s="31" t="s">
        <v>461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9"/>
    </row>
    <row r="4" ht="12.75" customHeight="1">
      <c r="A4" s="31" t="s">
        <v>462</v>
      </c>
      <c r="B4" s="32" t="s">
        <v>463</v>
      </c>
      <c r="C4" s="31" t="s">
        <v>464</v>
      </c>
      <c r="D4" s="31" t="s">
        <v>452</v>
      </c>
      <c r="E4" s="31" t="s">
        <v>465</v>
      </c>
      <c r="F4" s="31" t="s">
        <v>466</v>
      </c>
      <c r="G4" s="27" t="s">
        <v>62</v>
      </c>
      <c r="H4" s="27" t="s">
        <v>415</v>
      </c>
      <c r="I4" s="31" t="s">
        <v>467</v>
      </c>
      <c r="J4" s="31" t="s">
        <v>468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9"/>
    </row>
    <row r="5" ht="12.75" customHeight="1">
      <c r="A5" s="31" t="s">
        <v>469</v>
      </c>
      <c r="B5" s="32" t="s">
        <v>463</v>
      </c>
      <c r="C5" s="31" t="s">
        <v>464</v>
      </c>
      <c r="D5" s="31" t="s">
        <v>452</v>
      </c>
      <c r="E5" s="31" t="s">
        <v>470</v>
      </c>
      <c r="F5" s="31" t="s">
        <v>471</v>
      </c>
      <c r="G5" s="27" t="s">
        <v>62</v>
      </c>
      <c r="H5" s="27" t="s">
        <v>415</v>
      </c>
      <c r="I5" s="31" t="s">
        <v>472</v>
      </c>
      <c r="J5" s="31" t="s">
        <v>473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9"/>
    </row>
    <row r="6" ht="12.75" customHeight="1">
      <c r="A6" s="31" t="s">
        <v>474</v>
      </c>
      <c r="B6" s="32" t="s">
        <v>463</v>
      </c>
      <c r="C6" s="31" t="s">
        <v>464</v>
      </c>
      <c r="D6" s="31" t="s">
        <v>452</v>
      </c>
      <c r="E6" s="31" t="s">
        <v>475</v>
      </c>
      <c r="F6" s="31" t="s">
        <v>476</v>
      </c>
      <c r="G6" s="27" t="s">
        <v>62</v>
      </c>
      <c r="H6" s="27" t="s">
        <v>415</v>
      </c>
      <c r="I6" s="31" t="s">
        <v>477</v>
      </c>
      <c r="J6" s="31" t="s">
        <v>478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9"/>
    </row>
    <row r="7" ht="12.75" customHeight="1">
      <c r="A7" s="31" t="s">
        <v>479</v>
      </c>
      <c r="B7" s="32" t="s">
        <v>463</v>
      </c>
      <c r="C7" s="31" t="s">
        <v>464</v>
      </c>
      <c r="D7" s="31" t="s">
        <v>452</v>
      </c>
      <c r="E7" s="31" t="s">
        <v>480</v>
      </c>
      <c r="F7" s="31" t="s">
        <v>481</v>
      </c>
      <c r="G7" s="27" t="s">
        <v>62</v>
      </c>
      <c r="H7" s="27" t="s">
        <v>415</v>
      </c>
      <c r="I7" s="31" t="s">
        <v>482</v>
      </c>
      <c r="J7" s="31" t="s">
        <v>483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9"/>
    </row>
    <row r="8" ht="12.75" customHeight="1">
      <c r="A8" s="31" t="s">
        <v>484</v>
      </c>
      <c r="B8" s="32" t="s">
        <v>485</v>
      </c>
      <c r="C8" s="31" t="s">
        <v>486</v>
      </c>
      <c r="D8" s="31" t="s">
        <v>452</v>
      </c>
      <c r="E8" s="31" t="s">
        <v>487</v>
      </c>
      <c r="F8" s="31" t="s">
        <v>488</v>
      </c>
      <c r="G8" s="27" t="s">
        <v>62</v>
      </c>
      <c r="H8" s="27" t="s">
        <v>415</v>
      </c>
      <c r="I8" s="31" t="s">
        <v>489</v>
      </c>
      <c r="J8" s="31" t="s">
        <v>490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9"/>
    </row>
    <row r="9" ht="12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9"/>
    </row>
    <row r="10" ht="12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9"/>
    </row>
    <row r="11" ht="12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9"/>
    </row>
    <row r="12" ht="12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9"/>
    </row>
    <row r="13" ht="12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9"/>
    </row>
    <row r="14" ht="12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9"/>
    </row>
    <row r="15" ht="12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9"/>
    </row>
    <row r="16" ht="12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9"/>
    </row>
    <row r="17" ht="12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9"/>
    </row>
    <row r="18" ht="12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9"/>
    </row>
    <row r="19" ht="12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9"/>
    </row>
    <row r="20" ht="12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9"/>
    </row>
    <row r="21" ht="12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9"/>
    </row>
    <row r="22" ht="12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9"/>
    </row>
    <row r="23" ht="12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9"/>
    </row>
    <row r="24" ht="12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9"/>
    </row>
    <row r="25" ht="12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9"/>
    </row>
    <row r="26" ht="12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9"/>
    </row>
    <row r="27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9"/>
    </row>
    <row r="28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9"/>
    </row>
    <row r="29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9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9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9"/>
    </row>
    <row r="32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9"/>
    </row>
    <row r="33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9"/>
    </row>
    <row r="34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9"/>
    </row>
    <row r="35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9"/>
    </row>
    <row r="36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9"/>
    </row>
    <row r="3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9"/>
    </row>
    <row r="38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9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9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9"/>
    </row>
    <row r="41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9"/>
    </row>
    <row r="42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9"/>
    </row>
    <row r="43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9"/>
    </row>
    <row r="44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9"/>
    </row>
    <row r="45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9"/>
    </row>
    <row r="46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9"/>
    </row>
    <row r="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9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9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9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9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9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9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9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9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9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9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9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9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9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9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9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9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9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9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9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9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9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9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9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9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9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9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9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9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9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9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9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9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9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9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9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9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9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9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9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9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9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9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9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9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9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9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9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9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9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9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9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9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9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9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9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9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9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9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9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9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9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9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9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9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9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9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9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9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9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9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9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9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9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9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9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9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9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9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9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9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9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9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9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9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9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9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9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9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9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9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9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9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9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9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9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9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9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9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9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9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9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9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9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9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9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9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9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9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9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9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9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9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9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9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9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9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9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9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9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9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9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9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9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9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9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9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9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9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9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9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9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9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9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9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9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9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9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9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9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9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9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9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9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9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9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9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9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9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9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9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9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9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9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9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9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9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9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9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9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9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9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9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9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9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9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9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9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9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9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9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9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9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9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5.38"/>
    <col customWidth="1" min="3" max="3" width="9.25"/>
    <col customWidth="1" min="4" max="4" width="19.5"/>
    <col customWidth="1" min="5" max="5" width="8.38"/>
    <col customWidth="1" min="6" max="6" width="12.63"/>
    <col customWidth="1" min="7" max="7" width="13.75"/>
    <col customWidth="1" min="8" max="8" width="18.88"/>
    <col customWidth="1" min="9" max="9" width="15.5"/>
    <col customWidth="1" min="10" max="10" width="20.13"/>
    <col customWidth="1" min="11" max="11" width="6.38"/>
  </cols>
  <sheetData>
    <row r="1">
      <c r="A1" s="28" t="s">
        <v>491</v>
      </c>
      <c r="B1" s="28" t="s">
        <v>403</v>
      </c>
      <c r="C1" s="28" t="s">
        <v>1</v>
      </c>
      <c r="D1" s="28" t="s">
        <v>492</v>
      </c>
      <c r="E1" s="28" t="s">
        <v>493</v>
      </c>
      <c r="F1" s="28" t="s">
        <v>494</v>
      </c>
      <c r="G1" s="28" t="s">
        <v>6</v>
      </c>
      <c r="H1" s="28" t="s">
        <v>495</v>
      </c>
      <c r="I1" s="28" t="s">
        <v>496</v>
      </c>
      <c r="J1" s="28" t="s">
        <v>9</v>
      </c>
      <c r="K1" s="27" t="s">
        <v>10</v>
      </c>
      <c r="L1" s="28" t="s">
        <v>497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8" t="s">
        <v>136</v>
      </c>
      <c r="B2" s="28" t="s">
        <v>136</v>
      </c>
      <c r="C2" s="28" t="s">
        <v>137</v>
      </c>
      <c r="D2" s="28" t="s">
        <v>498</v>
      </c>
      <c r="E2" s="28" t="s">
        <v>499</v>
      </c>
      <c r="F2" s="33" t="s">
        <v>500</v>
      </c>
      <c r="G2" s="28" t="s">
        <v>141</v>
      </c>
      <c r="H2" s="28" t="s">
        <v>501</v>
      </c>
      <c r="I2" s="28" t="s">
        <v>502</v>
      </c>
      <c r="J2" s="28" t="s">
        <v>503</v>
      </c>
      <c r="K2" s="27" t="s">
        <v>25</v>
      </c>
      <c r="L2" s="28" t="s">
        <v>145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>
      <c r="A3" s="28" t="s">
        <v>146</v>
      </c>
      <c r="B3" s="28" t="s">
        <v>146</v>
      </c>
      <c r="C3" s="28" t="s">
        <v>147</v>
      </c>
      <c r="D3" s="28" t="s">
        <v>498</v>
      </c>
      <c r="E3" s="28" t="s">
        <v>499</v>
      </c>
      <c r="F3" s="33" t="s">
        <v>504</v>
      </c>
      <c r="G3" s="28" t="s">
        <v>149</v>
      </c>
      <c r="H3" s="28" t="s">
        <v>505</v>
      </c>
      <c r="I3" s="28" t="s">
        <v>506</v>
      </c>
      <c r="J3" s="28" t="s">
        <v>507</v>
      </c>
      <c r="K3" s="27" t="s">
        <v>25</v>
      </c>
      <c r="L3" s="28" t="s">
        <v>152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>
      <c r="A4" s="28" t="s">
        <v>153</v>
      </c>
      <c r="B4" s="28" t="s">
        <v>153</v>
      </c>
      <c r="C4" s="28" t="s">
        <v>154</v>
      </c>
      <c r="D4" s="28" t="s">
        <v>498</v>
      </c>
      <c r="E4" s="28" t="s">
        <v>499</v>
      </c>
      <c r="F4" s="33" t="s">
        <v>508</v>
      </c>
      <c r="G4" s="28" t="s">
        <v>55</v>
      </c>
      <c r="H4" s="28" t="s">
        <v>509</v>
      </c>
      <c r="I4" s="28" t="s">
        <v>510</v>
      </c>
      <c r="J4" s="28" t="s">
        <v>511</v>
      </c>
      <c r="K4" s="27" t="s">
        <v>25</v>
      </c>
      <c r="L4" s="28" t="s">
        <v>159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>
      <c r="A5" s="28" t="s">
        <v>160</v>
      </c>
      <c r="B5" s="28" t="s">
        <v>160</v>
      </c>
      <c r="C5" s="28" t="s">
        <v>161</v>
      </c>
      <c r="D5" s="28" t="s">
        <v>498</v>
      </c>
      <c r="E5" s="28" t="s">
        <v>499</v>
      </c>
      <c r="F5" s="33" t="s">
        <v>512</v>
      </c>
      <c r="G5" s="28" t="s">
        <v>55</v>
      </c>
      <c r="H5" s="28" t="s">
        <v>513</v>
      </c>
      <c r="I5" s="28" t="s">
        <v>514</v>
      </c>
      <c r="J5" s="28" t="s">
        <v>515</v>
      </c>
      <c r="K5" s="27" t="s">
        <v>25</v>
      </c>
      <c r="L5" s="28" t="s">
        <v>166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>
      <c r="A6" s="28" t="s">
        <v>167</v>
      </c>
      <c r="B6" s="28" t="s">
        <v>167</v>
      </c>
      <c r="C6" s="28" t="s">
        <v>168</v>
      </c>
      <c r="D6" s="28" t="s">
        <v>498</v>
      </c>
      <c r="E6" s="28" t="s">
        <v>499</v>
      </c>
      <c r="F6" s="34" t="s">
        <v>516</v>
      </c>
      <c r="G6" s="28" t="s">
        <v>171</v>
      </c>
      <c r="H6" s="28" t="s">
        <v>517</v>
      </c>
      <c r="I6" s="35" t="s">
        <v>518</v>
      </c>
      <c r="J6" s="28" t="s">
        <v>519</v>
      </c>
      <c r="K6" s="27" t="s">
        <v>25</v>
      </c>
      <c r="L6" s="28" t="s">
        <v>174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7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7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7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7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7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7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7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7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7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7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7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7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7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7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7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7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7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7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7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7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7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7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7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7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7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7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7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7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7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7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7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7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7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7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7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7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7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7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7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7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7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7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7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7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7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7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7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7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7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7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7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7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7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7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7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7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7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7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7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7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7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7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7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7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7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7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7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7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7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7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7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7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7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7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7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7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7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7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7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7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7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7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7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7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7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7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7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7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7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7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7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7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7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7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7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7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7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7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7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7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7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7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7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7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7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7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7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7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7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7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7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7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7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7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7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7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7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7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7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7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7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7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7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7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7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7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7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7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7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7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7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7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7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7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7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7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7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7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7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7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7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7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7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7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7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7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7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7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7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7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7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7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7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7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7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7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7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7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7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7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7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7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7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7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7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7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7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6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7.0"/>
    <col customWidth="1" min="3" max="3" width="11.13"/>
    <col customWidth="1" min="4" max="5" width="9.63"/>
    <col customWidth="1" min="6" max="7" width="11.13"/>
    <col customWidth="1" min="8" max="9" width="11.88"/>
    <col customWidth="1" min="10" max="10" width="61.38"/>
  </cols>
  <sheetData>
    <row r="1" ht="15.75" customHeight="1"/>
    <row r="2" ht="15.75" customHeight="1">
      <c r="A2" s="36" t="s">
        <v>520</v>
      </c>
      <c r="B2" s="36" t="s">
        <v>25</v>
      </c>
      <c r="C2" s="36" t="s">
        <v>68</v>
      </c>
      <c r="D2" s="36" t="s">
        <v>79</v>
      </c>
      <c r="E2" s="36" t="s">
        <v>521</v>
      </c>
      <c r="F2" s="36" t="s">
        <v>522</v>
      </c>
      <c r="G2" s="36" t="s">
        <v>523</v>
      </c>
      <c r="H2" s="36" t="s">
        <v>524</v>
      </c>
      <c r="I2" s="36" t="s">
        <v>525</v>
      </c>
      <c r="J2" s="36" t="s">
        <v>526</v>
      </c>
    </row>
    <row r="3" ht="15.75" customHeight="1">
      <c r="A3" s="37">
        <f>COUNTA('Test Case'!$A$2:$A$199)</f>
        <v>49</v>
      </c>
      <c r="B3" s="37">
        <f>COUNTIF('Test Case'!$K$2:$K$199,"Pass")</f>
        <v>45</v>
      </c>
      <c r="C3" s="37">
        <f>COUNTIF('Test Case'!$K$2:$K$199,"Fail")</f>
        <v>2</v>
      </c>
      <c r="D3" s="37">
        <f>COUNTIF('Test Case'!$K$2:$K$199,"Blocked")</f>
        <v>2</v>
      </c>
      <c r="E3" s="37">
        <f>COUNTIF('Test Case'!$K$2:$K$199,"Not Run")</f>
        <v>0</v>
      </c>
      <c r="F3" s="38">
        <f>IF(A3=0,0,B3/A3)</f>
        <v>0.9183673469</v>
      </c>
      <c r="G3" s="37">
        <f>COUNTA('Bug report'!$A$2:$A$200)</f>
        <v>4</v>
      </c>
      <c r="H3" s="37">
        <f>COUNTIF('Bug report'!$E$2:$E$200,"High")</f>
        <v>2</v>
      </c>
      <c r="I3" s="37">
        <f>COUNTIF('Bug report'!$E$2:$E$200,"Medium")</f>
        <v>2</v>
      </c>
      <c r="J3" s="37">
        <f>COUNTIF('Bug report'!$L$2:$L$200,"Open")+COUNTIF('Bug report'!$L$2:$L$200,"Open / Need Review")</f>
        <v>4</v>
      </c>
    </row>
    <row r="4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</row>
    <row r="6" ht="15.75" customHeight="1">
      <c r="A6" s="36" t="s">
        <v>527</v>
      </c>
      <c r="B6" s="36" t="s">
        <v>528</v>
      </c>
      <c r="C6" s="36" t="s">
        <v>520</v>
      </c>
      <c r="D6" s="36" t="s">
        <v>25</v>
      </c>
      <c r="E6" s="36" t="s">
        <v>68</v>
      </c>
      <c r="F6" s="36" t="s">
        <v>79</v>
      </c>
      <c r="G6" s="36" t="s">
        <v>521</v>
      </c>
      <c r="H6" s="36" t="s">
        <v>529</v>
      </c>
      <c r="I6" s="36" t="s">
        <v>522</v>
      </c>
      <c r="J6" s="36" t="s">
        <v>530</v>
      </c>
    </row>
    <row r="7" ht="37.5" customHeight="1">
      <c r="A7" s="40" t="s">
        <v>531</v>
      </c>
      <c r="B7" s="40" t="s">
        <v>532</v>
      </c>
      <c r="C7" s="40">
        <f>COUNTIF('Test Case'!$B$2:$B$199,"Admin Login")+COUNTIF('Test Case'!$B$2:$B$199,"Admin Product")+COUNTIF('Test Case'!$B$2:$B$199,"Admin Order")</f>
        <v>11</v>
      </c>
      <c r="D7" s="40">
        <f>COUNTIFS('Test Case'!$B$2:$B$199,"Admin Login",'Test Case'!$K$2:$K$199,"Pass")+COUNTIFS('Test Case'!$B$2:$B$199,"Admin Product",'Test Case'!$K$2:$K$199,"Pass")+COUNTIFS('Test Case'!$B$2:$B$199,"Admin Order",'Test Case'!$K$2:$K$199,"Pass")</f>
        <v>8</v>
      </c>
      <c r="E7" s="40">
        <f>COUNTIFS('Test Case'!$B$2:$B$199,"Admin Login",'Test Case'!$K$2:$K$199,"Fail")+COUNTIFS('Test Case'!$B$2:$B$199,"Admin Product",'Test Case'!$K$2:$K$199,"Fail")+COUNTIFS('Test Case'!$B$2:$B$199,"Admin Order",'Test Case'!$K$2:$K$199,"Fail")</f>
        <v>1</v>
      </c>
      <c r="F7" s="40">
        <f>COUNTIFS('Test Case'!$B$2:$B$199,"Admin Login",'Test Case'!$K$2:$K$199,"Blocked")+COUNTIFS('Test Case'!$B$2:$B$199,"Admin Product",'Test Case'!$K$2:$K$199,"Blocked")+COUNTIFS('Test Case'!$B$2:$B$199,"Admin Order",'Test Case'!$K$2:$K$199,"Blocked")</f>
        <v>2</v>
      </c>
      <c r="G7" s="40">
        <f>COUNTIFS('Test Case'!$B$2:$B$199,"Admin Login",'Test Case'!$K$2:$K$199,"Not Run")+COUNTIFS('Test Case'!$B$2:$B$199,"Admin Product",'Test Case'!$K$2:$K$199,"Not Run")+COUNTIFS('Test Case'!$B$2:$B$199,"Admin Order",'Test Case'!$K$2:$K$199,"Not Run")</f>
        <v>0</v>
      </c>
      <c r="H7" s="40">
        <f>COUNTIF('Bug report'!$C$2:$C$200,"Admin Product")</f>
        <v>1</v>
      </c>
      <c r="I7" s="41">
        <f t="shared" ref="I7:I11" si="1">IF(C7=0,0,D7/C7)</f>
        <v>0.7272727273</v>
      </c>
      <c r="J7" s="40" t="s">
        <v>533</v>
      </c>
    </row>
    <row r="8" ht="37.5" customHeight="1">
      <c r="A8" s="40" t="s">
        <v>534</v>
      </c>
      <c r="B8" s="40" t="s">
        <v>535</v>
      </c>
      <c r="C8" s="40">
        <f>COUNTIF('Test Case'!$B$2:$B$199,"Admin Login Security")+COUNTIF('Test Case'!$B$2:$B$199,"Input Security")</f>
        <v>2</v>
      </c>
      <c r="D8" s="40">
        <f>COUNTIFS('Test Case'!$B$2:$B$199,"Admin Login Security",'Test Case'!$K$2:$K$199,"Pass")+COUNTIFS('Test Case'!$B$2:$B$199,"Input Security",'Test Case'!$K$2:$K$199,"Pass")</f>
        <v>2</v>
      </c>
      <c r="E8" s="40">
        <f>COUNTIFS('Test Case'!$B$2:$B$199,"Admin Login Security",'Test Case'!$K$2:$K$199,"Fail")+COUNTIFS('Test Case'!$B$2:$B$199,"Input Security",'Test Case'!$K$2:$K$199,"Fail")</f>
        <v>0</v>
      </c>
      <c r="F8" s="40">
        <f>COUNTIFS('Test Case'!$B$2:$B$199,"Admin Login Security",'Test Case'!$K$2:$K$199,"Blocked")+COUNTIFS('Test Case'!$B$2:$B$199,"Input Security",'Test Case'!$K$2:$K$199,"Blocked")</f>
        <v>0</v>
      </c>
      <c r="G8" s="40">
        <f>COUNTIFS('Test Case'!$B$2:$B$199,"Admin Login Security",'Test Case'!$K$2:$K$199,"Not Run")+COUNTIFS('Test Case'!$B$2:$B$199,"Input Security",'Test Case'!$K$2:$K$199,"Not Run")</f>
        <v>0</v>
      </c>
      <c r="H8" s="40">
        <f>0</f>
        <v>0</v>
      </c>
      <c r="I8" s="41">
        <f t="shared" si="1"/>
        <v>1</v>
      </c>
      <c r="J8" s="40" t="s">
        <v>536</v>
      </c>
    </row>
    <row r="9" ht="37.5" customHeight="1">
      <c r="A9" s="40" t="s">
        <v>452</v>
      </c>
      <c r="B9" s="40" t="s">
        <v>537</v>
      </c>
      <c r="C9" s="40">
        <f>COUNTIF('Test Case'!$B$2:$B$199,"Security Scan")</f>
        <v>1</v>
      </c>
      <c r="D9" s="40">
        <f>COUNTIFS('Test Case'!$B$2:$B$199,"Security Scan",'Test Case'!$K$2:$K$199,"Pass")</f>
        <v>0</v>
      </c>
      <c r="E9" s="40">
        <f>COUNTIFS('Test Case'!$B$2:$B$199,"Security Scan",'Test Case'!$K$2:$K$199,"Fail")</f>
        <v>1</v>
      </c>
      <c r="F9" s="40">
        <f>COUNTIFS('Test Case'!$B$2:$B$199,"Security Scan",'Test Case'!$K$2:$K$199,"Blocked")</f>
        <v>0</v>
      </c>
      <c r="G9" s="40">
        <f>COUNTIFS('Test Case'!$B$2:$B$199,"Security Scan",'Test Case'!$K$2:$K$199,"Not Run")</f>
        <v>0</v>
      </c>
      <c r="H9" s="40">
        <f>COUNTIF('Bug report'!$C$2:$C$200,"Security Scan / Frontend JS Library")+COUNTIF('Bug report'!$C$2:$C$200,"Security Scan / CSRF")+COUNTIF('Bug report'!$C$2:$C$200,"Security Scan / CSP")</f>
        <v>3</v>
      </c>
      <c r="I9" s="41">
        <f t="shared" si="1"/>
        <v>0</v>
      </c>
      <c r="J9" s="40" t="s">
        <v>538</v>
      </c>
    </row>
    <row r="10" ht="37.5" customHeight="1">
      <c r="A10" s="40" t="s">
        <v>138</v>
      </c>
      <c r="B10" s="40" t="s">
        <v>539</v>
      </c>
      <c r="C10" s="40">
        <f>COUNTIF('Test Case'!$C$2:$C$199,"Selenium Automation")</f>
        <v>5</v>
      </c>
      <c r="D10" s="40">
        <f>COUNTIFS('Test Case'!$C$2:$C$199,"Selenium Automation",'Test Case'!$K$2:$K$199,"Pass")</f>
        <v>5</v>
      </c>
      <c r="E10" s="40">
        <f>COUNTIFS('Test Case'!$C$2:$C$199,"Selenium Automation",'Test Case'!$K$2:$K$199,"Fail")</f>
        <v>0</v>
      </c>
      <c r="F10" s="40">
        <f>COUNTIFS('Test Case'!$C$2:$C$199,"Selenium Automation",'Test Case'!$K$2:$K$199,"Blocked")</f>
        <v>0</v>
      </c>
      <c r="G10" s="40">
        <f>COUNTIFS('Test Case'!$C$2:$C$199,"Selenium Automation",'Test Case'!$K$2:$K$199,"Not Run")</f>
        <v>0</v>
      </c>
      <c r="H10" s="40">
        <f>0</f>
        <v>0</v>
      </c>
      <c r="I10" s="41">
        <f t="shared" si="1"/>
        <v>1</v>
      </c>
      <c r="J10" s="40" t="s">
        <v>540</v>
      </c>
    </row>
    <row r="11" ht="37.5" customHeight="1">
      <c r="A11" s="40" t="s">
        <v>541</v>
      </c>
      <c r="B11" s="40"/>
      <c r="C11" s="40">
        <f>COUNTA('Test Case'!$A$2:$A$199)</f>
        <v>49</v>
      </c>
      <c r="D11" s="40">
        <f>COUNTIF('Test Case'!$K$2:$K$199,"Pass")</f>
        <v>45</v>
      </c>
      <c r="E11" s="40">
        <f>COUNTIF('Test Case'!$K$2:$K$199,"Fail")</f>
        <v>2</v>
      </c>
      <c r="F11" s="40">
        <f>COUNTIF('Test Case'!$K$2:$K$199,"Blocked")</f>
        <v>2</v>
      </c>
      <c r="G11" s="40">
        <f>COUNTIF('Test Case'!$K$2:$K$199,"Not Run")</f>
        <v>0</v>
      </c>
      <c r="H11" s="40">
        <f>COUNTA('Bug report'!$A$2:$A$200)</f>
        <v>4</v>
      </c>
      <c r="I11" s="41">
        <f t="shared" si="1"/>
        <v>0.9183673469</v>
      </c>
      <c r="J11" s="40" t="s">
        <v>542</v>
      </c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ht="15.75" customHeight="1">
      <c r="A14" s="42" t="s">
        <v>543</v>
      </c>
      <c r="B14" s="42" t="s">
        <v>544</v>
      </c>
      <c r="C14" s="42" t="s">
        <v>10</v>
      </c>
      <c r="D14" s="43" t="s">
        <v>545</v>
      </c>
      <c r="E14" s="44"/>
      <c r="F14" s="44"/>
      <c r="G14" s="44"/>
      <c r="H14" s="44"/>
      <c r="I14" s="44"/>
      <c r="J14" s="45"/>
    </row>
    <row r="15" ht="28.5" customHeight="1">
      <c r="A15" s="40" t="s">
        <v>19</v>
      </c>
      <c r="B15" s="40">
        <f>COUNTIF('Bug report'!$E$2:$E$200,A15)</f>
        <v>2</v>
      </c>
      <c r="C15" s="40" t="s">
        <v>415</v>
      </c>
      <c r="D15" s="40" t="s">
        <v>546</v>
      </c>
    </row>
    <row r="16" ht="28.5" customHeight="1">
      <c r="A16" s="40" t="s">
        <v>62</v>
      </c>
      <c r="B16" s="40">
        <f>COUNTIF('Bug report'!$E$2:$E$200,A16)</f>
        <v>2</v>
      </c>
      <c r="C16" s="40" t="s">
        <v>433</v>
      </c>
      <c r="D16" s="40" t="s">
        <v>547</v>
      </c>
    </row>
    <row r="17" ht="28.5" customHeight="1">
      <c r="A17" s="40" t="s">
        <v>227</v>
      </c>
      <c r="B17" s="40">
        <f>COUNTIF('Bug report'!$E$2:$E$200,A17)</f>
        <v>0</v>
      </c>
      <c r="C17" s="40"/>
      <c r="D17" s="40" t="s">
        <v>548</v>
      </c>
    </row>
    <row r="18" ht="28.5" customHeight="1">
      <c r="A18" s="40" t="s">
        <v>549</v>
      </c>
      <c r="B18" s="40">
        <f>COUNTA('Bug report'!$A$2:$A$200)</f>
        <v>4</v>
      </c>
      <c r="C18" s="40"/>
      <c r="D18" s="40" t="s">
        <v>550</v>
      </c>
    </row>
    <row r="19" ht="15.75" customHeight="1"/>
    <row r="20" ht="15.75" customHeight="1"/>
    <row r="21" ht="15.75" customHeight="1">
      <c r="A21" s="46" t="s">
        <v>551</v>
      </c>
      <c r="B21" s="44"/>
      <c r="C21" s="44"/>
      <c r="D21" s="44"/>
      <c r="E21" s="44"/>
      <c r="F21" s="44"/>
      <c r="G21" s="44"/>
      <c r="H21" s="44"/>
      <c r="I21" s="44"/>
      <c r="J21" s="45"/>
    </row>
    <row r="22" ht="28.5" customHeight="1">
      <c r="A22" s="29" t="s">
        <v>552</v>
      </c>
      <c r="B22" s="29" t="s">
        <v>553</v>
      </c>
    </row>
    <row r="23" ht="28.5" customHeight="1">
      <c r="A23" s="29" t="s">
        <v>554</v>
      </c>
      <c r="B23" s="29" t="s">
        <v>555</v>
      </c>
    </row>
    <row r="24" ht="28.5" customHeight="1">
      <c r="A24" s="29" t="s">
        <v>556</v>
      </c>
      <c r="B24" s="29" t="s">
        <v>557</v>
      </c>
    </row>
    <row r="25" ht="28.5" customHeight="1">
      <c r="A25" s="29" t="s">
        <v>558</v>
      </c>
      <c r="B25" s="29" t="s">
        <v>559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3:J23"/>
    <mergeCell ref="B24:J24"/>
    <mergeCell ref="B25:J25"/>
    <mergeCell ref="D14:J14"/>
    <mergeCell ref="D15:J15"/>
    <mergeCell ref="D16:J16"/>
    <mergeCell ref="D17:J17"/>
    <mergeCell ref="D18:J18"/>
    <mergeCell ref="A21:J21"/>
    <mergeCell ref="B22:J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